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zaretk\Work Folders\Desktop\For CMS\"/>
    </mc:Choice>
  </mc:AlternateContent>
  <xr:revisionPtr revIDLastSave="0" documentId="8_{4BC09788-CDE4-4322-B434-E6B4E1B01D37}" xr6:coauthVersionLast="47" xr6:coauthVersionMax="47" xr10:uidLastSave="{00000000-0000-0000-0000-000000000000}"/>
  <bookViews>
    <workbookView xWindow="-19310" yWindow="-110" windowWidth="19420" windowHeight="10300" tabRatio="898" xr2:uid="{00000000-000D-0000-FFFF-FFFF00000000}"/>
  </bookViews>
  <sheets>
    <sheet name="Contents" sheetId="1" r:id="rId1"/>
    <sheet name="Technical specifications" sheetId="2" r:id="rId2"/>
    <sheet name="Table 2.1" sheetId="3" r:id="rId3"/>
    <sheet name="Table 2.2" sheetId="4" r:id="rId4"/>
    <sheet name="Table 2.3" sheetId="5" r:id="rId5"/>
    <sheet name="Table 3.1" sheetId="6" r:id="rId6"/>
    <sheet name="Table 3.2" sheetId="7" r:id="rId7"/>
    <sheet name="Table 3.3" sheetId="8" r:id="rId8"/>
    <sheet name="Table 3.4" sheetId="9" r:id="rId9"/>
    <sheet name="Table 4.1" sheetId="10" r:id="rId10"/>
    <sheet name="Table 4.2" sheetId="11" r:id="rId11"/>
    <sheet name="Table 4.3" sheetId="12" r:id="rId12"/>
    <sheet name="Table 4.4" sheetId="13" r:id="rId13"/>
    <sheet name="Table 4.5" sheetId="14" r:id="rId14"/>
    <sheet name="Table 4.6" sheetId="15" r:id="rId15"/>
    <sheet name="Table 4.7" sheetId="16" r:id="rId16"/>
    <sheet name="Table 4.8" sheetId="17" r:id="rId17"/>
    <sheet name="Table 4.9" sheetId="18" r:id="rId18"/>
    <sheet name="Table 4.10" sheetId="19" r:id="rId19"/>
    <sheet name="Table 4.11" sheetId="20" r:id="rId20"/>
    <sheet name="Table 4.12" sheetId="21" r:id="rId21"/>
    <sheet name="Table 4.13" sheetId="22" r:id="rId22"/>
    <sheet name="Table 4.14" sheetId="23" r:id="rId23"/>
    <sheet name="Table 4.15" sheetId="24" r:id="rId24"/>
    <sheet name="Table 4.16" sheetId="25" r:id="rId25"/>
    <sheet name="Table 5.1" sheetId="26" r:id="rId26"/>
    <sheet name="Table 5.2" sheetId="27" r:id="rId27"/>
    <sheet name="Table 5.3" sheetId="28" r:id="rId28"/>
    <sheet name="Table 5.4" sheetId="29" r:id="rId29"/>
    <sheet name="Table 5.5" sheetId="30" r:id="rId30"/>
    <sheet name="Table 5.6" sheetId="31" r:id="rId31"/>
    <sheet name="Table 6.1" sheetId="32" r:id="rId32"/>
    <sheet name="Table 6.2" sheetId="33" r:id="rId33"/>
    <sheet name="Table 6.3" sheetId="34" r:id="rId34"/>
    <sheet name="Table 6.4" sheetId="35" r:id="rId35"/>
    <sheet name="Table 6.5" sheetId="36" r:id="rId36"/>
    <sheet name="Table 6.6" sheetId="37" r:id="rId37"/>
    <sheet name="Table 6.7" sheetId="38" r:id="rId38"/>
    <sheet name="Table 6.8" sheetId="39" r:id="rId39"/>
    <sheet name="Table A1" sheetId="40" r:id="rId40"/>
    <sheet name="Table A2" sheetId="41" r:id="rId41"/>
    <sheet name="Table A3" sheetId="42" r:id="rId42"/>
    <sheet name="Table A4" sheetId="43" r:id="rId43"/>
    <sheet name="Table S3.1" sheetId="44" r:id="rId44"/>
    <sheet name="Table S3.2" sheetId="45" r:id="rId45"/>
    <sheet name="Table S4.1" sheetId="46" r:id="rId46"/>
    <sheet name="Table S4.2" sheetId="47" r:id="rId47"/>
    <sheet name="Table S4.3" sheetId="48" r:id="rId48"/>
    <sheet name="Table S4.4" sheetId="49" r:id="rId49"/>
    <sheet name="Table S4.5" sheetId="50" r:id="rId50"/>
    <sheet name="Table S5.1" sheetId="51" r:id="rId51"/>
    <sheet name="Table S5.2" sheetId="52" r:id="rId52"/>
    <sheet name="Table S5.3" sheetId="53" r:id="rId53"/>
    <sheet name="Table S6.1" sheetId="54" r:id="rId54"/>
    <sheet name="Table S6.2" sheetId="55" r:id="rId55"/>
    <sheet name="Table S6.3" sheetId="56" r:id="rId56"/>
    <sheet name="Table S6.4" sheetId="57" r:id="rId57"/>
  </sheets>
  <definedNames>
    <definedName name="_AMO_UniqueIdentifier" localSheetId="1" hidden="1">"'ed9627ce-2edd-409f-9379-d66d49fc0dca'"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9" l="1"/>
  <c r="E15" i="9"/>
  <c r="F15" i="9"/>
  <c r="G15" i="9"/>
  <c r="H15" i="9"/>
  <c r="C15" i="9"/>
  <c r="D15" i="8"/>
  <c r="E15" i="8"/>
  <c r="F15" i="8"/>
  <c r="G15" i="8"/>
  <c r="H15" i="8"/>
  <c r="C15" i="8"/>
</calcChain>
</file>

<file path=xl/sharedStrings.xml><?xml version="1.0" encoding="utf-8"?>
<sst xmlns="http://schemas.openxmlformats.org/spreadsheetml/2006/main" count="5619" uniqueCount="1322">
  <si>
    <t xml:space="preserve">  </t>
  </si>
  <si>
    <t xml:space="preserve">Emergency department care 2024–25: Australian hospital statistics  </t>
  </si>
  <si>
    <t>Contents</t>
  </si>
  <si>
    <t>Technical specifications</t>
  </si>
  <si>
    <t>Chapter 2</t>
  </si>
  <si>
    <t>Table 2.1: Emergency department presentations, by public hospital peer group, 2020–21 to 2024–25</t>
  </si>
  <si>
    <t>Table 2.2: Emergency department presentations, states and territories, 2020–21 to 2024–25</t>
  </si>
  <si>
    <t>Table 2.3: Emergency department presentations, by public hospital peer group, states and territories, 2024–25</t>
  </si>
  <si>
    <t>Chapter 3</t>
  </si>
  <si>
    <t>Table 3.1: Emergency department presentations, by age group and sex, states and territories, 2024–25</t>
  </si>
  <si>
    <t>Table 3.2: Emergency department presentations, by Indigenous status, states and territories, 2024–25</t>
  </si>
  <si>
    <t>Table 3.3: Emergency department presentations, by triage category and remoteness area of usual residence, 2024–25</t>
  </si>
  <si>
    <t>Table 3.4: Emergency department presentations, by triage category and socioeconomic area of usual residence, 2024–25</t>
  </si>
  <si>
    <t>Chapter 4</t>
  </si>
  <si>
    <t>Table 4.1: Emergency department presentations, by type of visit, states and territories, 2024–25</t>
  </si>
  <si>
    <t>Table 4.2: Emergency department presentations, by triage category and arrival mode, states and territories, 2024–25</t>
  </si>
  <si>
    <t>Table 4.3: Emergency department presentations, by age group, sex and triage category, 2024–25</t>
  </si>
  <si>
    <t>Table 4.4: Proportion (%) of Emergency presentations, by day of week and time of presentation, 2024–25</t>
  </si>
  <si>
    <t>Table 4.5: Emergency department presentations, by principal diagnosis in ICD-10-AM chapters, states and territories, 2024–25</t>
  </si>
  <si>
    <t>Table 4.6: Emergency department presentations, by principal diagnosis in ICD-10-AM chapters and triage category, 2024–25</t>
  </si>
  <si>
    <t>Table 4.7: Emergency department presentations, by principal diagnosis in ICD-10-AM chapters, and admission status, 2024–25</t>
  </si>
  <si>
    <t>Table 4.8: Emergency department presentations, by age group and principal diagnosis in ICD-10-AM chapters, public hospitals, 2024–25</t>
  </si>
  <si>
    <t>Table 4.9: The 20 most common principal diagnoses (3–character level) for emergency department presentations, states and territories, 2024–25</t>
  </si>
  <si>
    <t>Table 4.10: The 20 most common principal diagnoses (3–character level) for emergency department presentations, for patients who were subsequently admitted to the hospital, by triage category, 2024–25</t>
  </si>
  <si>
    <t>Table 4.11: The 5 most common principal diagnoses (3–character level) for emergency department presentations, by age group, 2024–25</t>
  </si>
  <si>
    <t>Table 4.12: Emergency department presentations, by triage category and episode end status, 2024–25</t>
  </si>
  <si>
    <t>Table 4.13: Emergency department presentations, by episode end status, states and territories, 2024–25</t>
  </si>
  <si>
    <t>Table 4.14: Proportion (%) of Emergency presentations with an episode end status of Admitted to this hospital, by triage category, states and territories, 2024–25</t>
  </si>
  <si>
    <t>Table 4.15: Emergency department presentations, by age group and episode end status, 2024–25</t>
  </si>
  <si>
    <t>Table 4.16: Emergency department presentations, by funding source, 2024–25</t>
  </si>
  <si>
    <t>Chapter 5</t>
  </si>
  <si>
    <t>Table 5.1: Emergency presentation waiting time statistics, states and territories, 2020–21 to 2024–25</t>
  </si>
  <si>
    <t>Table 5.2: Proportion (%) of Emergency presentations ending in admission, by public hospital peer group and triage category, states and territories, 2024–25</t>
  </si>
  <si>
    <t>Table 5.3: Proportion (%) of Emergency presentations seen on time, by public hospital peer group and  triage category, states and territories, 2024–25</t>
  </si>
  <si>
    <t>Table 5.4: Median waiting time (minutes) for Emergency presentations, by remoteness area of usual residence and triage category, 2024–25</t>
  </si>
  <si>
    <t>Table 5.5: Proportion (%) of Emergency presentations seen on time, by triage category and Indigenous status, states and territories, 2024–25</t>
  </si>
  <si>
    <t>Table 5.6: Emergency presentations and median waiting time (minutes), by Indigenous status and triage category, states and territories, 2024–25</t>
  </si>
  <si>
    <t>Chapter 6</t>
  </si>
  <si>
    <t>Table 6.1: Emergency department presentations 90th percentile length of emergency department stay (hours: minutes), by admission status, states and territories, 2020–21 to 2024–25</t>
  </si>
  <si>
    <t>Table 6.2: Emergency department presentations 90th percentile length of stay (hours: minutes), by triage category and admission status, states and territories, 2024–25</t>
  </si>
  <si>
    <t>Table 6.3: Proportion (%) of presentations to emergency departments with a length of stay of 4 hours or less, for all patients and patients subsequently admitted, states and territories, 2020–21 to 2024–25</t>
  </si>
  <si>
    <t>Table 6.4: Proportion (%) of presentations to emergency departments with a length of stay of 4 hours or less, by triage category and public hospital peer group, states and territories, 2024–25</t>
  </si>
  <si>
    <t>Table 6.5: Proportion (%) of presentations to emergency departments with a length of stay of 4 hours or less, for patients subsequently admitted to the hospital, by triage category and public hospital peer group, states and territories, 2024–25</t>
  </si>
  <si>
    <t>Table 6.6: Proportion (%) of presentations to emergency departments with a length of stay of 4 hours or less, for patients not subsequently admitted to the hospital, by triage category and public hospital peer group, states and territories, 2024–25</t>
  </si>
  <si>
    <t>Table 6.7: Duration of clinical care statistics for Emergency presentations, for patients subsequently admitted to this hospital, by triage category, 2024–25</t>
  </si>
  <si>
    <t>Table 6.8: Duration of clinical care statistics for Emergency presentations, for patients not subsequently admitted to this hospital, by triage category, 2024–25</t>
  </si>
  <si>
    <t>Appendix A</t>
  </si>
  <si>
    <t>Table A1: Public hospital emergency departments, states and territories, 2020–21 to 2024–25</t>
  </si>
  <si>
    <t>Table A2: Public hospital emergency departments, by public hospital peer group, 2020–21 to 2024–25</t>
  </si>
  <si>
    <t>Table A3: Public hospital emergency departments, by public hospital peer group, states and territories, 2024–25</t>
  </si>
  <si>
    <t>Table A4: Proportion (%) of Emergency presentations, by triage category, states and territories, 2024–25</t>
  </si>
  <si>
    <t>Supplementary tables</t>
  </si>
  <si>
    <t>Table S3.1: Presentations per 1,000 population, by sex and age, age-specific rates, states and territories, 2024–25</t>
  </si>
  <si>
    <t>Table S3.2: Presentations per 1,000 population, by Indigenous status and age, age-specific rates, states and territories, 2024–25</t>
  </si>
  <si>
    <t>Table S4.1: Emergency department presentations, by emergency care category, states and territories, 2024–25</t>
  </si>
  <si>
    <t>Table S4.2: Emergency department presentations, by complexity splits (AECC level 3) and triage category, 2024–25</t>
  </si>
  <si>
    <t>Table S4.3: Emergency department presentations, by complexity splits (AECC level 3) and admission status, 2024–25</t>
  </si>
  <si>
    <t>Table S4.4: Emergency department presentations, by hour of presentation and triage category, 2024–25</t>
  </si>
  <si>
    <t>Table S4.5: Proportion (%) of Emergency presentations, by hour of presentation for each triage category, 2024–25</t>
  </si>
  <si>
    <t>Table S5.1: Emergency department presentation statistics, by public hospital peer group and triage category, states and territories, 2024–25</t>
  </si>
  <si>
    <t>Table S5.2: Proportion (%) of Emergency presentations seen on time, by triage category and remoteness area of usual residence, states and territories, 2024–25</t>
  </si>
  <si>
    <t>Table S5.3: Proportion (%) of Emergency presentations seen on time, by triage category and socioeconomic area of usual residence, states and territories, 2024–25</t>
  </si>
  <si>
    <t>Table S6.1: Emergency department presentations median length of emergency department stay (hours: minutes), by admission status, states and territories, 2020–21 to 2024–25</t>
  </si>
  <si>
    <t>Table S6.2: Emergency department presentations median length of stay (hours: minutes), by triage category and admission status, states and territories, 2024–25</t>
  </si>
  <si>
    <t>Table S6.3: Proportion (%) of presentations to emergency departments with a length of stay of 4, 6, 8 or 12 hours or less, by admission status, 2020–21 to 2024–25</t>
  </si>
  <si>
    <t>Table S6.4: Proportion (%) of presentations to emergency departments with a length of stay of 4, 6, 8 or 12 hours or less, by admission status, age group, 2024–25</t>
  </si>
  <si>
    <t>Technical specifications - Emergency department care 2024–25: Australian hospital statistics</t>
  </si>
  <si>
    <t>1. National Non-admitted Patient Emergency Department Care Database (NNAPEDCD)</t>
  </si>
  <si>
    <t>Based on:</t>
  </si>
  <si>
    <t>•   Non-admitted patient emergency department care (NAPEDC) National Minimum Data Set 2024–25.</t>
  </si>
  <si>
    <t>METEOR identifier 775643</t>
  </si>
  <si>
    <t>•  Emergency Service Care National Best Endeavours Data Set 2024–25.</t>
  </si>
  <si>
    <t>METEOR identifier 775634</t>
  </si>
  <si>
    <t>2. Public hospital peer group</t>
  </si>
  <si>
    <t>•   Public hospital peer groupings define groups of similar hospitals based on shared characteristics, and allow a better understanding of the organisation and provision of hospital services.</t>
  </si>
  <si>
    <t>•   The peer groupings used in the tables are:</t>
  </si>
  <si>
    <t xml:space="preserve">  – Principal referral and women’s and children’s hospitals</t>
  </si>
  <si>
    <t xml:space="preserve">  – Public acute group A hospitals</t>
  </si>
  <si>
    <t xml:space="preserve">  – Public acute group B hospitals</t>
  </si>
  <si>
    <t xml:space="preserve">  – Public acute group C hospitals</t>
  </si>
  <si>
    <t xml:space="preserve">  – Other hospitals (hospitals not included in the specified peer groups).</t>
  </si>
  <si>
    <t xml:space="preserve">•   Appendix C of the Emergency Department care Appendix contains more detailed information on public hospital peer groupings: </t>
  </si>
  <si>
    <t xml:space="preserve">https://www.aihw.gov.au/reports-data/myhospitals/content/about-the-data </t>
  </si>
  <si>
    <t>•   The AIHW report on Australian hospital peer groups contains more information on public hospital peer groupings:</t>
  </si>
  <si>
    <t>See: Australian hospital peer groups (AIHW 2015)</t>
  </si>
  <si>
    <t>https://www.aihw.gov.au/reports/hospitals/australian-hospital-peer-groups/contents/table-of-contents</t>
  </si>
  <si>
    <t>3. Time in the emergency department</t>
  </si>
  <si>
    <t>•   Progress of the patient through the emergency department is recorded in the NNAPEDCD with 5 different time points:</t>
  </si>
  <si>
    <t xml:space="preserve"> – presentation time—the time of first recorded contact with an emergency department staff member, which may be at the start of clerical registration or of the triage process</t>
  </si>
  <si>
    <t xml:space="preserve"> – triage time—the time at which the patient was assigned a triage category, which can coincide with presentation time</t>
  </si>
  <si>
    <t xml:space="preserve"> – clinical care commencement—the time at which care commenced by a doctor, nurse, mental health practitioner or other health professional, which can also coincide with presentation time</t>
  </si>
  <si>
    <t xml:space="preserve"> – episode end time—the time at which the non-admitted patient emergency department service episode ended</t>
  </si>
  <si>
    <t xml:space="preserve"> – physical departure time—the time at which the patient departed the emergency department, which can coincide with episode end time.</t>
  </si>
  <si>
    <t>4. Waiting time</t>
  </si>
  <si>
    <t>•   Elapsed time from presentation to commencement of clinical care.</t>
  </si>
  <si>
    <t>•   Records were excluded from the calculation of waiting time if the patient Did not wait to be attended to by a health care professional, was Dead on arrival, was Registered, advised of another health care service, and left the emergency department without being attended by a health care professional, or if the waiting time could not be calculated, or the triage category was missing.</t>
  </si>
  <si>
    <t>METEOR identifier 799771</t>
  </si>
  <si>
    <t>5. Duration of clinical care</t>
  </si>
  <si>
    <t>•   Elapsed time from commencement of clinical care to episode end. Records were excluded if either the clinical care commencement time or episode end time were missing.</t>
  </si>
  <si>
    <t>6. Length of emergency department stay</t>
  </si>
  <si>
    <t>•   Elapsed time from presentation to physical departure. Records were excluded if either the presentation time or physical departure time were missing.</t>
  </si>
  <si>
    <t>7. Triage category</t>
  </si>
  <si>
    <t>•   Indicates the urgency of the patient’s need for medical and nursing care. It is usually assigned by an experienced registered nurse or medical practitioner at, or shortly after, the time of presentation to the emergency department. Categories are indicative of time by which the patient should receive care:</t>
  </si>
  <si>
    <t>– Resuscitation: immediate (within seconds)</t>
  </si>
  <si>
    <t>– Emergency: within 10 minutes</t>
  </si>
  <si>
    <t>– Urgent: within 30 minutes</t>
  </si>
  <si>
    <t>– Semi-urgent: within 60 minutes</t>
  </si>
  <si>
    <t>– Non-urgent: within 120 minutes.</t>
  </si>
  <si>
    <t>METEOR identifier 799815</t>
  </si>
  <si>
    <t>8. Proportion seen on time</t>
  </si>
  <si>
    <t>•   Proportion of presentations for which the waiting time to commencement of clinical care was within the time specified in the definition of the triage category, usually represented as a percentage.</t>
  </si>
  <si>
    <t>9. Indigenous status</t>
  </si>
  <si>
    <t>•   Data element providing information about whether persons identify as being of Aboriginal and/or Torres Strait Islander origin.</t>
  </si>
  <si>
    <t xml:space="preserve">In tables presenting information on Indigenous status: </t>
  </si>
  <si>
    <t>•     First Nations people includes presentations for patients whose Indigenous status was reported as:</t>
  </si>
  <si>
    <t xml:space="preserve">        – Aboriginal but not Torres Strait Islander origin </t>
  </si>
  <si>
    <t xml:space="preserve">        – Torres Strait Islander but not Aboriginal origin </t>
  </si>
  <si>
    <t xml:space="preserve">        – Both Aboriginal and Torres Strait Islander origin.</t>
  </si>
  <si>
    <t xml:space="preserve">•     Other Australians includes presentations for which the Indigenous status of the patient was reported as: 
      </t>
  </si>
  <si>
    <t xml:space="preserve">        – Neither Aboriginal nor Torres Strait Islander origin or </t>
  </si>
  <si>
    <t xml:space="preserve">        – Not stated/inadequately described. </t>
  </si>
  <si>
    <t>METEOR identifier 602543</t>
  </si>
  <si>
    <t>10. Remoteness</t>
  </si>
  <si>
    <t>•     Remoteness of area of usual residence is based on the geographical region in which a person usually resides (provided as Statistical Area level 2 for most jurisdictions).</t>
  </si>
  <si>
    <t>METEOR identifier 747315</t>
  </si>
  <si>
    <t>Australian Statistical Geography Standard (ASGS) Edition 3</t>
  </si>
  <si>
    <t>11. Socioeconomic area of usual residence</t>
  </si>
  <si>
    <t>•   The SEIFA Index of Relative Socio-Economic Disadvantage (IRSD) is one of the ABS’s SEIFA indexes. The relative disadvantage scores indicate the collective socioeconomic disadvantage of the people living in an area, with reference to the situation and standards applying in the wider community at a given point in time. Socioeconomic disadvantage is based on the geographical region in which a person usually resides.</t>
  </si>
  <si>
    <t>Socio-Economic Indexes for Areas (SEIFA) - Technical Paper</t>
  </si>
  <si>
    <t>12. Type of visit</t>
  </si>
  <si>
    <t>•     The reason a patient presents to an emergency department.</t>
  </si>
  <si>
    <t>METEOR identifier 799764</t>
  </si>
  <si>
    <t xml:space="preserve"> •     Type of visit is classified as Emergency (code 1) where a patient presents to the emergency department for an actual or suspected condition which is sufficiently serious to require acute unscheduled care. This includes patients awaiting transit to another facility who receive clinical care in the emergency department, and patients for whom resuscitation is attempted.</t>
  </si>
  <si>
    <t>13. Arrival mode</t>
  </si>
  <si>
    <t>•     The mode of transport by which the person arrives at the emergency department.</t>
  </si>
  <si>
    <t>METEOR identifier 746114</t>
  </si>
  <si>
    <t>14. Principal diagnosis</t>
  </si>
  <si>
    <t>•     The diagnosis established at the conclusion of the patient's attendance in an emergency department to be mainly responsible for occasioning the attendance following consideration of clinical assessment.</t>
  </si>
  <si>
    <t>METEOR identifier 764919</t>
  </si>
  <si>
    <t>15. Episode end status</t>
  </si>
  <si>
    <t>•     The status of the patient at the end of the non-admitted patient emergency department service episode.</t>
  </si>
  <si>
    <t>METEOR identifier 796802</t>
  </si>
  <si>
    <t>16. Australian Emergency Care Classification (AECC)</t>
  </si>
  <si>
    <t xml:space="preserve">•     The Australian Emergency Care Classification (AECC) groups emergency department care episodes into classes under three levels: </t>
  </si>
  <si>
    <t xml:space="preserve">    – Episode type (level 1)</t>
  </si>
  <si>
    <t xml:space="preserve">    – Emergency care diagnosis group (level 2)</t>
  </si>
  <si>
    <t xml:space="preserve">    – Complexity splits (level 3).</t>
  </si>
  <si>
    <t>For more information regarding the AECC: Emergency care | IHACPA</t>
  </si>
  <si>
    <t>17. Changes over time</t>
  </si>
  <si>
    <t>•     Tables which present data over time show average annual change over the last five years, and the annual change between the previous year and the current year.</t>
  </si>
  <si>
    <t>•     Appendix B of the Emergency Department care Appendix contains more detailed information about the formula used to calculate annual change:</t>
  </si>
  <si>
    <t>18. Age-standardised rates</t>
  </si>
  <si>
    <t>Age-standardisation of rates enables valid comparison across years and/or jurisdictions without being affected by the differences in age distributions.</t>
  </si>
  <si>
    <t>•     Presentations per 1,000 population are reported as directly age-standardised rates based on the Australian population as at 30 June at the beginning of the reference period.</t>
  </si>
  <si>
    <t>•     The Australian population as at 30 June 2001 was used as the reference population.</t>
  </si>
  <si>
    <t>•     In some tables, presentations per 1,000 are presented with a presentation rate ratio. The presentation rate ratios are calculated by dividing the age-standardised rate for a population of interest by the age-standardised presentation rate for a comparison population (the expected rate).</t>
  </si>
  <si>
    <t>•     For Indigenous status, the presentation rate ratio is equal to the presentation rate for First Nations people divided by the presentation rate for Other Australians.</t>
  </si>
  <si>
    <t xml:space="preserve">•     For analyses by state or territory, remoteness area of usual residence or socioeconomic area of usual residence, the presentation rate ratio is equal to the rate for the state or territory of residence, remoteness area, or socioeconomic area respectively, divided by the rate for Australia. </t>
  </si>
  <si>
    <t>19. State/territory</t>
  </si>
  <si>
    <t>•     State/territory is determined by the state of the hospital presented rather than the patient's usual residence.</t>
  </si>
  <si>
    <t>20. Funding source</t>
  </si>
  <si>
    <t>•     The source of funds for an episode of care, as represented by a code.</t>
  </si>
  <si>
    <t>METEOR identifier 780491</t>
  </si>
  <si>
    <t>Symbols</t>
  </si>
  <si>
    <t>..</t>
  </si>
  <si>
    <t>not applicable</t>
  </si>
  <si>
    <t>n.p.</t>
  </si>
  <si>
    <t>not published</t>
  </si>
  <si>
    <t>Specifications for individual tables</t>
  </si>
  <si>
    <t>•   Count of Emergency department presentations for the last 5 reporting years. Disaggregated by peer group.</t>
  </si>
  <si>
    <t>•   See specifications 1, 2 and 17.</t>
  </si>
  <si>
    <t>•   Count of Emergency department presentations for the last 5 reporting years. Disaggregated by state/territory.</t>
  </si>
  <si>
    <t>•   See specifications 1, 17, 18 and 19.</t>
  </si>
  <si>
    <t>•   Count of Emergency department presentations for the last 5 reporting years. Disaggregated by peer group and state/territory.</t>
  </si>
  <si>
    <t>•   See specifications 1, 2 and 19.</t>
  </si>
  <si>
    <t>•   Count of Emergency department presentations. Disaggregated by sex, age group and state/territory.</t>
  </si>
  <si>
    <t>•   See specification 1 and 19.</t>
  </si>
  <si>
    <t>•   Count of Emergency department presentations. Disaggregated by Indigenous status and state/territory.</t>
  </si>
  <si>
    <t>•   See specifications 1, 9, 18 and 19.</t>
  </si>
  <si>
    <t>•   Count of Emergency department presentations. Disaggregated by triage category and remoteness area of usual residence.</t>
  </si>
  <si>
    <t>•   See specifications 1, 7, 10 and 18.</t>
  </si>
  <si>
    <t>•   See specifications 1, 7, 11 and 18.</t>
  </si>
  <si>
    <t>•   Rate (presentations per 1,000 population) of emergency department presentations. Disaggregated by sex, age group, and state/territory.</t>
  </si>
  <si>
    <t>•   Rate (presentations per 1,000 population) of emergency department presentations. Disaggregated by Indigenous status, age group, and state/territory.</t>
  </si>
  <si>
    <t>•   See specifications 1, 9 and 19.</t>
  </si>
  <si>
    <t>•   Count of Emergency department presentations. Disaggregated by type of visit and state/territory.</t>
  </si>
  <si>
    <t>•   See specifications 1, 12 and 19.</t>
  </si>
  <si>
    <t>•   Count of Emergency department presentations. Disaggregated by triage category, arrival mode and state/territory.</t>
  </si>
  <si>
    <t>•   See specifications 1, 7, 13 and 19.</t>
  </si>
  <si>
    <t>•   Count of Emergency department presentations. Disaggregated by sex, age group and triage category.</t>
  </si>
  <si>
    <t>•   See specifications 1 and 7.</t>
  </si>
  <si>
    <t>•   Proportion (%) of emergency department presentations by day of week and time of presentation.</t>
  </si>
  <si>
    <t>•   See specification 1.</t>
  </si>
  <si>
    <t>•   Count of Emergency department presentations. Disaggregated by principal diagnosis in ICD-10-AM chapters and state/territory.</t>
  </si>
  <si>
    <t>•   See specifications 1, 14 and 19.</t>
  </si>
  <si>
    <t>•   Count of Emergency department presentations. Disaggregated by principal diagnosis in ICD-10-AM chapters and triage category.</t>
  </si>
  <si>
    <t>•   See specifications 1, 7 and 14.</t>
  </si>
  <si>
    <t>•   Count of Emergency department presentations. Disaggregated by principal diagnosis in ICD-10-AM chapters and admission status.</t>
  </si>
  <si>
    <t>•   See specifications 1, 14 and 15.</t>
  </si>
  <si>
    <t>Table 4.8: Emergency department presentations, by age group and principal diagnosis in ICD-10-AM chapters, 2024–25</t>
  </si>
  <si>
    <t>•   Count of Emergency department presentations. Disaggregated by principal diagnosis in ICD-10-AM chapters and age group.</t>
  </si>
  <si>
    <t>•   See specifications 1 and 14.</t>
  </si>
  <si>
    <t>•   Count of Emergency department presentations. Disaggregated by principal diagnosis and state/territory.</t>
  </si>
  <si>
    <t>Table 4.10: The 20 most common principal diagnoses (3–character level) for emergency department presentations, for patients who were subsequently admitted to the hospital, by triage category, 2024–25</t>
  </si>
  <si>
    <t>•   Count of Emergency department presentations. Disaggregated by principal diagnosis and age group.</t>
  </si>
  <si>
    <t>•   Count of Emergency department presentations. Disaggregated by triage category and episode end status.</t>
  </si>
  <si>
    <t>•   See specifications 1, 7 and 15.</t>
  </si>
  <si>
    <t>•   Count of Emergency department presentations. Disaggregated by episode end status and state/territory.</t>
  </si>
  <si>
    <t>•   See specifications 1, 15 and 19.</t>
  </si>
  <si>
    <t>•   See specifications 1, 7, 12, 15 and 19.</t>
  </si>
  <si>
    <t>•   Count of Emergency department presentations. Disaggregated by age group and episode end status.</t>
  </si>
  <si>
    <t>•   See specifications 1 and 15.</t>
  </si>
  <si>
    <t>Table 4.16: Emergency department presentations, by funding source, states and territories, 2024–25</t>
  </si>
  <si>
    <t>•   Count of Emergency department presentations. Disaggregated by funding source and state/territory.</t>
  </si>
  <si>
    <t>•   See specifications 1 and 20.</t>
  </si>
  <si>
    <t>•   Count of Emergency department presentations. Disaggregated by emergency care category and state/territory.</t>
  </si>
  <si>
    <t>•   See specifications 1, 16 and 19.</t>
  </si>
  <si>
    <t>•   Count of Emergency department presentations. Disaggregated by complexity splits and triage category.</t>
  </si>
  <si>
    <t>•   See specifications 1, 7 and 16.</t>
  </si>
  <si>
    <t>•   Count of Emergency department presentations. Disaggregated by complexity splits and admission status.</t>
  </si>
  <si>
    <t>•   See specifications 1, 15 and 16.</t>
  </si>
  <si>
    <t>Table S4.4: Emergency presentations, by hour of presentation and triage category, 2024–25</t>
  </si>
  <si>
    <t>•   Count of Emergency presentations by hour of presentation. Disaggregated by triage category.</t>
  </si>
  <si>
    <t>•   Proportion (%) of Emergency presentations by triage category. Disaggregated by hour of presentation.</t>
  </si>
  <si>
    <t>•   Waiting time statistics for emergency presentations only. Disaggregated by state/territory.</t>
  </si>
  <si>
    <t>•   See specifications 1, 4, 8, 12 and 19.</t>
  </si>
  <si>
    <t>•   Proportion (%) of emergency presentations ending in admission. Disaggregated by peer group, triage category and state/territory.</t>
  </si>
  <si>
    <t>•   See specifications 1, 2, 7, 12, 15 and 19.</t>
  </si>
  <si>
    <t>Table 5.3: Proportion (%) of Emergency presentations seen on time, by public hospital peer group and triage category, states and territories, 2024–25</t>
  </si>
  <si>
    <t>•   Proportion (%) of emergency presentations seen on time. Disaggregated by peer group, triage category and state/territory.</t>
  </si>
  <si>
    <t>•   See specifications 1, 2, 4, 7, 8, 12 and 19.</t>
  </si>
  <si>
    <t>•   Waiting time statistics (median) for emergency presentations only. Disaggregated by remoteness and triage category.</t>
  </si>
  <si>
    <t>•   See specifications 1, 4, 7, 10 and 12.</t>
  </si>
  <si>
    <t>•   Proportion (%) of emergency department presentations seen on time. Disaggregated by peer group, triage category and state/territory.</t>
  </si>
  <si>
    <t>•   See specifications 1, 4, 7, 8, 9, 12 and 19.</t>
  </si>
  <si>
    <t>Table 5.6: Median waiting time (minutes) for Emergency presentations, by Indigenous status and triage category, states and territories, 2024–25</t>
  </si>
  <si>
    <t>•   Waiting time statistics (median) for emergency presentations only. Disaggregated by Indigenous status and state/territory.</t>
  </si>
  <si>
    <t>•   See specifications 1, 4, 7, 9, 12 and 19.</t>
  </si>
  <si>
    <t>Table S5.1: Emergency presentation statistics, by public hospital peer group and triage category, states and territories, 2024–25</t>
  </si>
  <si>
    <t>•   Counts and median and 90th percentile waiting times for emergency department presentations. Disaggregated by peer group, triage category and state/territory.</t>
  </si>
  <si>
    <t>•   See specifications 1, 2, 4, 7, 12 and 19.</t>
  </si>
  <si>
    <t>Table S5.2: Proportion (%) of Emergency presentations seen on time, by triage category and remoteness of usual residence, states and territories, 2024–25</t>
  </si>
  <si>
    <t>•   Proportion (%) of emergency department presentations seen on time. Disaggregated by remoteness category, triage category and state/territory.</t>
  </si>
  <si>
    <t>•   See specifications 1, 4, 7, 8, 10, 12 and 19.</t>
  </si>
  <si>
    <t>•   Proportion (%) of emergency department presentations seen on time. Disaggregated by SEIFA quintile, triage category and state/territory.</t>
  </si>
  <si>
    <t>•   See specifications 1, 4, 7, 8, 11, 12 and 19.</t>
  </si>
  <si>
    <t>•   Length of stay statistics (90th percentile) for emergency department stays for the last 5 reporting years. Disaggregated by admission status and state/territory.</t>
  </si>
  <si>
    <t>•   See specifications 1, 3, 6, 15 and 19.</t>
  </si>
  <si>
    <t>Table 6.2: Emergency department presentations 90th percentile length of stay, by triage category and admission status, states and territories, 2024–25</t>
  </si>
  <si>
    <t>•   Length of stay statistics (90th percentile) for emergency department stays. Disaggregated by triage category, admission status and state/territory.</t>
  </si>
  <si>
    <t>•   See specifications 1, 3, 6, 7, 15 and 19.</t>
  </si>
  <si>
    <t>•   Length of stay statistics (proportion with stay of 4 hours or less) for emergency department stays for the last 5 reporting years. Disaggregated by admission status and state/territory.</t>
  </si>
  <si>
    <t xml:space="preserve">Table 6.4: Proportion (%) of presentations to emergency departments with a length of stay of 4 hours or less, by triage category and public hospital peer group, states and territories, 2024–25 </t>
  </si>
  <si>
    <t>•   Length of stay statistics (proportion with stay of 4 hours or less) for emergency department stays. Disaggregated by peer group, triage category and state/territory.</t>
  </si>
  <si>
    <t>•   See specifications 1, 2, 3, 6, 7 and 19.</t>
  </si>
  <si>
    <t>•   Length of stay statistics (proportion with stay of 4 hours or less) for emergency department stays. Disaggregated by admission status, peer group, triage category and state/territory.</t>
  </si>
  <si>
    <t>•   See specifications 1, 2, 3, 6, 7, 15 and 19.</t>
  </si>
  <si>
    <t>Table 6.7: Duration of clinical care statistics for Emergency presentations for patients subsequently admitted to this hospital, by triage category, 2024–25</t>
  </si>
  <si>
    <t>•   Duration of clinical care statistics (count, proportion) for emergency department presentations. Disaggregated by admission status and triage category.</t>
  </si>
  <si>
    <t>•   See specifications 1, 3, 5, 7, 12 and 15.</t>
  </si>
  <si>
    <t>Table 6.8: Duration of clinical care statistics for Emergency presentations for patients not subsequently admitted to this hospital, by triage category, 2024–25</t>
  </si>
  <si>
    <t>Table S6.1: Median length of emergency department stay, by admission status, states and territories, 2020–21 to 2024–25</t>
  </si>
  <si>
    <t>•   Length of stay statistics (median) for emergency department stays for the last 5 reporting years. Disaggregated by admission status and state/territory.</t>
  </si>
  <si>
    <t>Table S6.2: Emergency department presentations median length of stay, by triage category and admission status, states and territories, 2024–25</t>
  </si>
  <si>
    <t>•   Length of stay statistics (median) for emergency department stays. Disaggregated by triage category, admission status and state/territory.</t>
  </si>
  <si>
    <t>•   Length of stay statistics (proportion with stay of &lt;4, &lt;6, &lt;8, &lt;12 hours) for emergency department stays for the last five reporting years. Disaggregated by admission end status.</t>
  </si>
  <si>
    <t>•   See specifications 1, 3, 6, and 15.</t>
  </si>
  <si>
    <t>Table S6.4: Proportion (%) of presentations to emergency departments with a length of stay of 4, 6, 8 or 12 hours or less, by admission status and age group,  2024–25</t>
  </si>
  <si>
    <t>•   Length of stay statistics (proportion with stay of &lt;4, &lt;6, &lt;8, &lt;12 hours) for emergency department stays. Disaggregated by admission end status and age group.</t>
  </si>
  <si>
    <t>•   Count of public hospital emergency departments that reported emergency department presentations for the last 5 reporting years. Disaggregated by state/territory.</t>
  </si>
  <si>
    <t>•   Count of public hospital emergency departments that reported emergency department presentations for the last 5 reporting years. Disaggregated by peer group.</t>
  </si>
  <si>
    <t>•   See specifications 1 and 2.</t>
  </si>
  <si>
    <t>•   Count of public hospital emergency departments that reported emergency department presentations in the 2024–25 reporting year. Disaggregated by peer group and state/territory.</t>
  </si>
  <si>
    <t>•   Proportion (%) of Emergency presentations by triage category. Disaggregated by state/territory.</t>
  </si>
  <si>
    <t>•   See specifications 1, 7, 12 and 19.</t>
  </si>
  <si>
    <t>Back to top</t>
  </si>
  <si>
    <t>Peer group</t>
  </si>
  <si>
    <t>2020–21</t>
  </si>
  <si>
    <t>2021–22</t>
  </si>
  <si>
    <t>2022–23</t>
  </si>
  <si>
    <t>2023–24</t>
  </si>
  <si>
    <t>2024–25</t>
  </si>
  <si>
    <t>Average annual change (%) last five years</t>
  </si>
  <si>
    <t>Change (%) since last year</t>
  </si>
  <si>
    <t>Principal referral and womens and children's hospitals</t>
  </si>
  <si>
    <t>Public acute group A hospitals</t>
  </si>
  <si>
    <t>Public acute group B hospitals</t>
  </si>
  <si>
    <t>Public acute group C hospitals</t>
  </si>
  <si>
    <t>Other hospitals</t>
  </si>
  <si>
    <t>All hospitals</t>
  </si>
  <si>
    <t>Note: Appendix information with notes on definitions and data limitations is available to download at the link below:</t>
  </si>
  <si>
    <t>https://www.aihw.gov.au/hospitals/other-resources/about-the-data</t>
  </si>
  <si>
    <t>Back to contents</t>
  </si>
  <si>
    <t>State/territory</t>
  </si>
  <si>
    <t>Measure</t>
  </si>
  <si>
    <t>NSW</t>
  </si>
  <si>
    <t>Presentations</t>
  </si>
  <si>
    <t>Vic</t>
  </si>
  <si>
    <t>Qld</t>
  </si>
  <si>
    <t>WA</t>
  </si>
  <si>
    <t>SA</t>
  </si>
  <si>
    <t>Tas</t>
  </si>
  <si>
    <t>ACT</t>
  </si>
  <si>
    <t>NT</t>
  </si>
  <si>
    <t>Total</t>
  </si>
  <si>
    <t>Age-standardised rate per 1,000 population</t>
  </si>
  <si>
    <t>Proportion of total (%)</t>
  </si>
  <si>
    <t>Sex</t>
  </si>
  <si>
    <t>Age group</t>
  </si>
  <si>
    <t>Males</t>
  </si>
  <si>
    <t>0–4</t>
  </si>
  <si>
    <t>5–14</t>
  </si>
  <si>
    <t>15–24</t>
  </si>
  <si>
    <t>25–34</t>
  </si>
  <si>
    <t>35–44</t>
  </si>
  <si>
    <t>45–54</t>
  </si>
  <si>
    <t>55–64</t>
  </si>
  <si>
    <t>65–74</t>
  </si>
  <si>
    <t>75–84</t>
  </si>
  <si>
    <t>85–89</t>
  </si>
  <si>
    <t>90–94</t>
  </si>
  <si>
    <t>95+</t>
  </si>
  <si>
    <t>Females</t>
  </si>
  <si>
    <t>Persons</t>
  </si>
  <si>
    <t>(a)     For Tasmania, the gender data item has been reported instead of sex.</t>
  </si>
  <si>
    <t>(b)     Includes presentations for which age group of the patient was not reported.</t>
  </si>
  <si>
    <t>(c)     Includes presentations for which the sex of the patient was not reported.</t>
  </si>
  <si>
    <t>Indigenous status</t>
  </si>
  <si>
    <t>Aboriginal but not Torres Strait Islander origin</t>
  </si>
  <si>
    <t>Torres Strait Islander but not Aboriginal origin</t>
  </si>
  <si>
    <t>Aboriginal and Torres Strait Islander origin</t>
  </si>
  <si>
    <t>Non-Indigenous Australians</t>
  </si>
  <si>
    <t>Not reported</t>
  </si>
  <si>
    <t>First Nations people</t>
  </si>
  <si>
    <t>Other Australians</t>
  </si>
  <si>
    <t>(a)     Includes records for which the Indigenous status was not reported.</t>
  </si>
  <si>
    <t>(b)     Presentation rates were directly age-standardised using 5-year age groups, up to 65 years and over. Therefore, standardised rates in this table are not directly comparable with standardised rates that use 5 year age groups up to 85 years and over, presented elsewhere in this report.</t>
  </si>
  <si>
    <t>Triage category</t>
  </si>
  <si>
    <t>Major cities</t>
  </si>
  <si>
    <t>Inner regional</t>
  </si>
  <si>
    <t>Outer regional</t>
  </si>
  <si>
    <t>Remote</t>
  </si>
  <si>
    <t>Very remote</t>
  </si>
  <si>
    <t>Resuscitation</t>
  </si>
  <si>
    <t>Emergency</t>
  </si>
  <si>
    <t>Urgent</t>
  </si>
  <si>
    <t>Semi-urgent</t>
  </si>
  <si>
    <t>Non-urgent</t>
  </si>
  <si>
    <r>
      <rPr>
        <sz val="7"/>
        <rFont val="Arial"/>
      </rPr>
      <t xml:space="preserve">(a)    Includes presentations for which the remoteness area was </t>
    </r>
    <r>
      <rPr>
        <i/>
        <sz val="7"/>
        <color theme="1"/>
        <rFont val="Arial"/>
      </rPr>
      <t xml:space="preserve">Migratory - off-shore - shipping, outside Australia </t>
    </r>
    <r>
      <rPr>
        <sz val="7"/>
        <color theme="1"/>
        <rFont val="Arial"/>
      </rPr>
      <t>or unknown.</t>
    </r>
  </si>
  <si>
    <r>
      <rPr>
        <sz val="7"/>
        <color theme="1"/>
        <rFont val="Arial"/>
      </rPr>
      <t>(b)    Includes presentations for which the triage category was not reported.</t>
    </r>
  </si>
  <si>
    <r>
      <rPr>
        <sz val="7"/>
        <color theme="1"/>
        <rFont val="Arial"/>
      </rPr>
      <t xml:space="preserve">(c)    Presentation rates are directly age-standardised using populations by remoteness areas, which do not include persons with </t>
    </r>
    <r>
      <rPr>
        <i/>
        <sz val="7"/>
        <color theme="1"/>
        <rFont val="Arial"/>
      </rPr>
      <t xml:space="preserve">Migratory - off-shore - shipping, outside Australia </t>
    </r>
    <r>
      <rPr>
        <sz val="7"/>
        <color theme="1"/>
        <rFont val="Arial"/>
      </rPr>
      <t>or unknown area of usual residence. Therefore, the total standardised rates in this table differ from national rates presented elsewhere in this report.</t>
    </r>
  </si>
  <si>
    <t>1—Lowest</t>
  </si>
  <si>
    <t>2nd quintile</t>
  </si>
  <si>
    <t>3rd quintile</t>
  </si>
  <si>
    <t>4th quintile</t>
  </si>
  <si>
    <t>5—Highest</t>
  </si>
  <si>
    <t>(a)     Includes presentations for which the SEIFA category was not reported.</t>
  </si>
  <si>
    <t>(b)     Includes presentations for which the triage category was not reported.</t>
  </si>
  <si>
    <t>(c)     Presentation rates are directly age-standardised using populations by socioeconomic groups, which do not include persons in areas for which the socioeconomic status could not be determined. Therefore, the total standardised rates in this table differ from national rates presented elsewhere in this report.</t>
  </si>
  <si>
    <t>Type of visit</t>
  </si>
  <si>
    <t>Emergency presentation</t>
  </si>
  <si>
    <t>Return visit, planned</t>
  </si>
  <si>
    <t>Pre-arranged admission</t>
  </si>
  <si>
    <t>Dead on arrival</t>
  </si>
  <si>
    <r>
      <rPr>
        <sz val="7"/>
        <rFont val="Arial"/>
      </rPr>
      <t xml:space="preserve">(a)     Western Australian emergency departments only occasionally manage and report patients who are </t>
    </r>
    <r>
      <rPr>
        <i/>
        <sz val="7"/>
        <color theme="1"/>
        <rFont val="Arial"/>
      </rPr>
      <t>Dead on arrival</t>
    </r>
    <r>
      <rPr>
        <sz val="7"/>
        <color theme="1"/>
        <rFont val="Arial"/>
      </rPr>
      <t xml:space="preserve">, because the majority of these patients are taken directly to the state morgue. In Western Australia, some hospitals reported all presentations as Emergency presentation.									</t>
    </r>
  </si>
  <si>
    <r>
      <rPr>
        <sz val="7"/>
        <color theme="1"/>
        <rFont val="Arial"/>
      </rPr>
      <t xml:space="preserve">(b)     For South Australia, patients who are </t>
    </r>
    <r>
      <rPr>
        <i/>
        <sz val="7"/>
        <color theme="1"/>
        <rFont val="Arial"/>
      </rPr>
      <t>Dead on arrival</t>
    </r>
    <r>
      <rPr>
        <sz val="7"/>
        <color theme="1"/>
        <rFont val="Arial"/>
      </rPr>
      <t xml:space="preserve"> are not managed or reported by emergency departments.</t>
    </r>
  </si>
  <si>
    <t>Arrival mode</t>
  </si>
  <si>
    <t>Ambulance, air ambulance or helicopter rescue service</t>
  </si>
  <si>
    <t>Police/correctional services vehicle</t>
  </si>
  <si>
    <t>Other</t>
  </si>
  <si>
    <t>(a)     Includes presentations where patients either walked into the emergency department, or came by private transport, public transport, community transport, or taxi.</t>
  </si>
  <si>
    <r>
      <rPr>
        <b/>
        <sz val="10"/>
        <rFont val="Arial"/>
      </rPr>
      <t>Table 4.3: Emergency department presentations, by age group, sex</t>
    </r>
    <r>
      <rPr>
        <b/>
        <vertAlign val="superscript"/>
        <sz val="10"/>
        <rFont val="Arial"/>
      </rPr>
      <t>(a)</t>
    </r>
    <r>
      <rPr>
        <b/>
        <sz val="10"/>
        <rFont val="Arial"/>
      </rPr>
      <t xml:space="preserve"> and triage category, 2024–25</t>
    </r>
  </si>
  <si>
    <t>(a)    For Tasmania, the gender data item has been reported instead of sex.</t>
  </si>
  <si>
    <t>(b)     Includes presentations where age group of the patient was not reported.</t>
  </si>
  <si>
    <t>Time of presentation</t>
  </si>
  <si>
    <t>Sunday</t>
  </si>
  <si>
    <t>Monday</t>
  </si>
  <si>
    <t>Tuesday</t>
  </si>
  <si>
    <t>Wednesday</t>
  </si>
  <si>
    <t>Thursday</t>
  </si>
  <si>
    <t>Friday</t>
  </si>
  <si>
    <t>Saturday</t>
  </si>
  <si>
    <t>Midnight to 1:59 am</t>
  </si>
  <si>
    <t>2 am to 3:59 am</t>
  </si>
  <si>
    <t>4 am to 5:59 am</t>
  </si>
  <si>
    <t>6 am to 7:59 am</t>
  </si>
  <si>
    <t>8 am to 9:59 am</t>
  </si>
  <si>
    <t>10 am to 11:59 am</t>
  </si>
  <si>
    <t>Midday to 1:59 pm</t>
  </si>
  <si>
    <t>2 pm to 3:59 pm</t>
  </si>
  <si>
    <t>4 pm to 5:59 pm</t>
  </si>
  <si>
    <t>6 pm to 7:59 pm</t>
  </si>
  <si>
    <t>8 pm to 9:59 pm</t>
  </si>
  <si>
    <t>10 pm to 11:59 pm</t>
  </si>
  <si>
    <t>Proportion of day (%)</t>
  </si>
  <si>
    <t>Proportion of week (%)</t>
  </si>
  <si>
    <t>(a) Excludes records with an invalid presentation time.</t>
  </si>
  <si>
    <r>
      <rPr>
        <b/>
        <sz val="10"/>
        <rFont val="Arial"/>
      </rPr>
      <t>Table 4.5: Emergency department presentations</t>
    </r>
    <r>
      <rPr>
        <b/>
        <vertAlign val="superscript"/>
        <sz val="10"/>
        <rFont val="Arial"/>
      </rPr>
      <t>(a)</t>
    </r>
    <r>
      <rPr>
        <b/>
        <sz val="10"/>
        <rFont val="Arial"/>
      </rPr>
      <t>, by principal diagnosis in ICD-10-AM chapters, states and territories, 2024–25</t>
    </r>
  </si>
  <si>
    <t>Principal diagnosis</t>
  </si>
  <si>
    <t>A00–B99 	Certain infectious and parasitic diseases</t>
  </si>
  <si>
    <t>C00–D48 	Neoplasms</t>
  </si>
  <si>
    <t>D50–D89 	Diseases of the blood and blood-forming organs and certain disorders involving the immune mechanism</t>
  </si>
  <si>
    <t>E00–E90 	Endocrine, nutritional and metabolic diseases</t>
  </si>
  <si>
    <t>F00–F99 	Mental and behavioural disorders</t>
  </si>
  <si>
    <t>G00–G99 	Diseases of the nervous system</t>
  </si>
  <si>
    <t>H00–H59 	Diseases of the eye and adnexa</t>
  </si>
  <si>
    <t>H60–H95 	Diseases of the ear and mastoid process</t>
  </si>
  <si>
    <t>I00–I99 	Diseases of the circulatory system</t>
  </si>
  <si>
    <t>J00–J99 	Diseases of the respiratory system</t>
  </si>
  <si>
    <t>K00–K93 	Diseases of the digestive system</t>
  </si>
  <si>
    <t>L00–L99 	Diseases of the skin and subcutaneous tissue</t>
  </si>
  <si>
    <t>M00–M99 	Diseases of the musculoskeletal system and connective tissue</t>
  </si>
  <si>
    <t>N00–N99 	Diseases of the genitourinary system</t>
  </si>
  <si>
    <t>O00–O99 	Pregnancy, childbirth and the puerperium</t>
  </si>
  <si>
    <t>P00–P96 	Certain conditions originating in the perinatal period</t>
  </si>
  <si>
    <t>Q00–Q99 	Congenital malformations, deformations and chromosomal abnormalities</t>
  </si>
  <si>
    <t>R00–R99 	Symptoms, signs and abnormal clinical and laboratory findings, not elsewhere classified</t>
  </si>
  <si>
    <t>S00–T98 	Injury, poisoning and certain other consequences of external causes</t>
  </si>
  <si>
    <t>U07.1, U07.2, and U07.7	 Emergency use of codes U07.1, U07.2 and U07.7</t>
  </si>
  <si>
    <t>U50–Y98 	External causes of morbidity and mortality</t>
  </si>
  <si>
    <t>Z00–Z99 	Factors influencing health status and contact with health services</t>
  </si>
  <si>
    <t>Not stated/invalid</t>
  </si>
  <si>
    <r>
      <rPr>
        <i/>
        <sz val="7"/>
        <color theme="1"/>
        <rFont val="Arial"/>
      </rPr>
      <t>U0.71</t>
    </r>
    <r>
      <rPr>
        <sz val="7"/>
        <color theme="1"/>
        <rFont val="Arial"/>
      </rPr>
      <t xml:space="preserve"> - Emergency use of U07.1 [COVID-19], virus laboratory identified. </t>
    </r>
    <r>
      <rPr>
        <i/>
        <sz val="7"/>
        <color theme="1"/>
        <rFont val="Arial"/>
      </rPr>
      <t>U07.2</t>
    </r>
    <r>
      <rPr>
        <sz val="7"/>
        <color theme="1"/>
        <rFont val="Arial"/>
      </rPr>
      <t xml:space="preserve"> - Emergency use of U07.2 [COVID-19], virus not laboratory identified. </t>
    </r>
    <r>
      <rPr>
        <i/>
        <sz val="7"/>
        <color theme="1"/>
        <rFont val="Arial"/>
      </rPr>
      <t>U07.7</t>
    </r>
    <r>
      <rPr>
        <sz val="7"/>
        <color theme="1"/>
        <rFont val="Arial"/>
      </rPr>
      <t xml:space="preserve"> - Emergency use of U07.7 [COVID-19 vaccines causing adverse effects in therapeutic use].</t>
    </r>
  </si>
  <si>
    <r>
      <rPr>
        <sz val="7"/>
        <color theme="1"/>
        <rFont val="Arial"/>
      </rPr>
      <t>(a)     Presentations include all types of visit.</t>
    </r>
  </si>
  <si>
    <r>
      <rPr>
        <b/>
        <sz val="10"/>
        <rFont val="Arial"/>
      </rPr>
      <t>Table 4.6: Emergency department presentations</t>
    </r>
    <r>
      <rPr>
        <b/>
        <vertAlign val="superscript"/>
        <sz val="10"/>
        <rFont val="Arial"/>
      </rPr>
      <t>(a)</t>
    </r>
    <r>
      <rPr>
        <b/>
        <sz val="10"/>
        <rFont val="Arial"/>
      </rPr>
      <t>, by principal diagnosis in ICD-10-AM chapters and triage category, 2024–25</t>
    </r>
  </si>
  <si>
    <r>
      <rPr>
        <sz val="7"/>
        <color theme="1"/>
        <rFont val="Arial"/>
      </rPr>
      <t xml:space="preserve">(b)     Includes records for which a principal diagnosis was not reported. </t>
    </r>
  </si>
  <si>
    <r>
      <rPr>
        <sz val="7"/>
        <color theme="1"/>
        <rFont val="Arial"/>
      </rPr>
      <t>(c)     Includes presentations for which the triage category was not reported.</t>
    </r>
  </si>
  <si>
    <r>
      <rPr>
        <b/>
        <sz val="10"/>
        <rFont val="Arial"/>
      </rPr>
      <t>Table 4.7: Emergency department presentations</t>
    </r>
    <r>
      <rPr>
        <b/>
        <vertAlign val="superscript"/>
        <sz val="10"/>
        <rFont val="Arial"/>
      </rPr>
      <t>(a)</t>
    </r>
    <r>
      <rPr>
        <b/>
        <sz val="10"/>
        <rFont val="Arial"/>
      </rPr>
      <t>, by principal diagnosis in ICD-10-AM chapters, and admission status, 2024–25</t>
    </r>
  </si>
  <si>
    <t>Patient subsequently admitted</t>
  </si>
  <si>
    <t>Patient not admitted</t>
  </si>
  <si>
    <t>All presentations to emergency departments</t>
  </si>
  <si>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</si>
  <si>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(c)    Patient not admitted is where the episode end status is any value other than </t>
    </r>
    <r>
      <rPr>
        <i/>
        <sz val="7"/>
        <color theme="1"/>
        <rFont val="Arial"/>
      </rPr>
      <t>Transferred for admitted patient care in this hospital (either short stay unit, hospital-in-the-home or other admitted patient care unit).</t>
    </r>
  </si>
  <si>
    <r>
      <rPr>
        <b/>
        <sz val="10"/>
        <rFont val="Arial"/>
      </rPr>
      <t>Table 4.8: Emergency department presentations</t>
    </r>
    <r>
      <rPr>
        <b/>
        <vertAlign val="superscript"/>
        <sz val="10"/>
        <rFont val="Arial"/>
      </rPr>
      <t>(a)</t>
    </r>
    <r>
      <rPr>
        <b/>
        <sz val="10"/>
        <rFont val="Arial"/>
      </rPr>
      <t>, by age group and principal diagnosis in ICD-10-AM chapters, public hospitals, 2024–25</t>
    </r>
  </si>
  <si>
    <t>85–94</t>
  </si>
  <si>
    <r>
      <rPr>
        <sz val="7"/>
        <color theme="1"/>
        <rFont val="Arial"/>
      </rPr>
      <t>(b)     Includes presentations for which the age group of the patient was not reported.</t>
    </r>
  </si>
  <si>
    <r>
      <rPr>
        <b/>
        <sz val="10"/>
        <rFont val="Arial"/>
      </rPr>
      <t>Table 4.9: The 20 most common principal diagnoses (3–character level) for emergency department presentations</t>
    </r>
    <r>
      <rPr>
        <b/>
        <vertAlign val="superscript"/>
        <sz val="10"/>
        <rFont val="Arial"/>
      </rPr>
      <t>(a)</t>
    </r>
    <r>
      <rPr>
        <b/>
        <sz val="10"/>
        <rFont val="Arial"/>
      </rPr>
      <t>, states and territories, 2024–25</t>
    </r>
  </si>
  <si>
    <t>R10 	Abdominal and pelvic pain</t>
  </si>
  <si>
    <t>R07 	Pain in throat and chest</t>
  </si>
  <si>
    <t>R69 	Unknown and unspecified causes of morbidity</t>
  </si>
  <si>
    <t>T14 	Injury of unspecified body region</t>
  </si>
  <si>
    <t>M54 	Dorsalgia</t>
  </si>
  <si>
    <t>L03 	Cellulitis</t>
  </si>
  <si>
    <t>B34 	Viral infection of unspecified site</t>
  </si>
  <si>
    <t>M79 	Other soft tissue disorders, not elsewhere classified</t>
  </si>
  <si>
    <t>R06 	Abnormalities of breathing</t>
  </si>
  <si>
    <t>A09 	Other gastroenteritis and colitis of infectious and unspecified origin</t>
  </si>
  <si>
    <t>S61 	Open wound of wrist and hand</t>
  </si>
  <si>
    <t>S09 	Other and unspecified injuries of head</t>
  </si>
  <si>
    <t>N39 	Other disorders of urinary system</t>
  </si>
  <si>
    <t>R11 	Nausea and vomiting</t>
  </si>
  <si>
    <t>M25 	Other joint disorders, not elsewhere classified</t>
  </si>
  <si>
    <t>R55 	Syncope and collapse</t>
  </si>
  <si>
    <t>R45 	Symptoms and signs involving emotional state</t>
  </si>
  <si>
    <t>S01 	Open wound of head</t>
  </si>
  <si>
    <t>J06 	Acute upper respiratory infections of multiple and unspecified sites</t>
  </si>
  <si>
    <t>J18 	Pneumonia, organism unspecified</t>
  </si>
  <si>
    <t>Missing/Not reported</t>
  </si>
  <si>
    <t>(a)     Presentations include all types of visit.</t>
  </si>
  <si>
    <r>
      <rPr>
        <b/>
        <sz val="10"/>
        <rFont val="Arial"/>
      </rPr>
      <t>Table 4.10: The 20 most common principal diagnoses (3–character level) for emergency department presentations, for patients who were subsequently admitted to the hospital</t>
    </r>
    <r>
      <rPr>
        <b/>
        <vertAlign val="superscript"/>
        <sz val="10"/>
        <rFont val="Arial"/>
      </rPr>
      <t>(a)</t>
    </r>
    <r>
      <rPr>
        <b/>
        <sz val="10"/>
        <rFont val="Arial"/>
      </rPr>
      <t>, by triage category, 2024–25</t>
    </r>
  </si>
  <si>
    <t>R50 	Fever of other and unknown origin</t>
  </si>
  <si>
    <t>J44 	Other chronic obstructive pulmonary disease</t>
  </si>
  <si>
    <t>R29 	Other symptoms and signs involving the nervous and musculoskeletal systems</t>
  </si>
  <si>
    <t>A41 	Other sepsis</t>
  </si>
  <si>
    <t>R42 	Dizziness and giddiness</t>
  </si>
  <si>
    <t>I21 	Acute myocardial infarction</t>
  </si>
  <si>
    <t>I48 	Atrial fibrillation and flutter</t>
  </si>
  <si>
    <t>I50 	Heart failure</t>
  </si>
  <si>
    <r>
      <rPr>
        <sz val="7"/>
        <rFont val="Arial"/>
      </rPr>
      <t xml:space="preserve">(a)     Presentations include all type of visits, for which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</si>
  <si>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(b)     Includes presentations for which the triage category was not reported.</t>
    </r>
  </si>
  <si>
    <r>
      <rPr>
        <b/>
        <sz val="10"/>
        <rFont val="Arial"/>
      </rPr>
      <t>Table 4.11: The 5 most common principal diagnoses (3–character level) for emergency department presentations</t>
    </r>
    <r>
      <rPr>
        <b/>
        <vertAlign val="superscript"/>
        <sz val="10"/>
        <rFont val="Arial"/>
      </rPr>
      <t>(a)</t>
    </r>
    <r>
      <rPr>
        <b/>
        <sz val="10"/>
        <rFont val="Arial"/>
      </rPr>
      <t>, by age group</t>
    </r>
    <r>
      <rPr>
        <b/>
        <vertAlign val="superscript"/>
        <sz val="10"/>
        <rFont val="Arial"/>
      </rPr>
      <t>(b)</t>
    </r>
    <r>
      <rPr>
        <b/>
        <sz val="10"/>
        <rFont val="Arial"/>
      </rPr>
      <t>, 2024–25</t>
    </r>
  </si>
  <si>
    <r>
      <rPr>
        <b/>
        <sz val="8"/>
        <rFont val="Arial"/>
      </rPr>
      <t>Age group</t>
    </r>
    <r>
      <rPr>
        <b/>
        <vertAlign val="superscript"/>
        <sz val="8"/>
        <rFont val="Arial"/>
      </rPr>
      <t>(c)</t>
    </r>
  </si>
  <si>
    <r>
      <rPr>
        <b/>
        <sz val="8"/>
        <rFont val="Arial"/>
      </rPr>
      <t>Principal diagnosis</t>
    </r>
    <r>
      <rPr>
        <b/>
        <vertAlign val="superscript"/>
        <sz val="8"/>
        <rFont val="Arial"/>
      </rPr>
      <t>(a)</t>
    </r>
  </si>
  <si>
    <t>J05 	Acute obstructive laryngitis [croup] and epiglottitis</t>
  </si>
  <si>
    <t>S52 	Fracture at wrist and hand level</t>
  </si>
  <si>
    <t>S62 	Fracture at wrist and hand level</t>
  </si>
  <si>
    <t>S72 	Fracture of femur</t>
  </si>
  <si>
    <r>
      <rPr>
        <sz val="7"/>
        <rFont val="Arial"/>
      </rPr>
      <t xml:space="preserve">(a)     Presentations include all type of visits, for which the episode end status was </t>
    </r>
    <r>
      <rPr>
        <i/>
        <sz val="7"/>
        <color theme="1"/>
        <rFont val="Arial"/>
      </rPr>
      <t>Admitted to this hospital</t>
    </r>
    <r>
      <rPr>
        <sz val="7"/>
        <color theme="1"/>
        <rFont val="Arial"/>
      </rPr>
      <t>.</t>
    </r>
  </si>
  <si>
    <r>
      <rPr>
        <sz val="7"/>
        <color theme="1"/>
        <rFont val="Arial"/>
      </rPr>
      <t>(b)     Excludes presentations for which the age group of the patient was not reported.</t>
    </r>
  </si>
  <si>
    <t>Episode end status</t>
  </si>
  <si>
    <t>Admitted to this hospital</t>
  </si>
  <si>
    <t>Departed without being admitted or referred</t>
  </si>
  <si>
    <t>Referred to another hospital for admission</t>
  </si>
  <si>
    <t>Did not wait</t>
  </si>
  <si>
    <t>Left at own risk</t>
  </si>
  <si>
    <t>Died in emergency department</t>
  </si>
  <si>
    <t>Registered, advised of another health care service and left without being attended to</t>
  </si>
  <si>
    <t>(a)     Includes presentations for which the triage category was not reported.</t>
  </si>
  <si>
    <r>
      <rPr>
        <sz val="7"/>
        <rFont val="Arial"/>
      </rPr>
      <t xml:space="preserve">(a)     Western Australian emergency departments only occasionally manage and report patients who are </t>
    </r>
    <r>
      <rPr>
        <i/>
        <sz val="7"/>
        <color theme="1"/>
        <rFont val="Arial"/>
      </rPr>
      <t>Dead on arrival</t>
    </r>
    <r>
      <rPr>
        <sz val="7"/>
        <color theme="1"/>
        <rFont val="Arial"/>
      </rPr>
      <t xml:space="preserve">, because the majority of these patients are taken directly to the state morgue.									</t>
    </r>
  </si>
  <si>
    <r>
      <rPr>
        <sz val="7"/>
        <color theme="1"/>
        <rFont val="Arial"/>
      </rPr>
      <t xml:space="preserve">(b)     For South Australia, patients who are </t>
    </r>
    <r>
      <rPr>
        <i/>
        <sz val="7"/>
        <color theme="1"/>
        <rFont val="Arial"/>
      </rPr>
      <t>Dead on arrival</t>
    </r>
    <r>
      <rPr>
        <sz val="7"/>
        <color theme="1"/>
        <rFont val="Arial"/>
      </rPr>
      <t xml:space="preserve"> are not managed or reported by emergency departments.</t>
    </r>
  </si>
  <si>
    <r>
      <rPr>
        <b/>
        <sz val="10"/>
        <rFont val="Arial"/>
      </rPr>
      <t>Table 4.14: Proportion (%) of Emergency presentations</t>
    </r>
    <r>
      <rPr>
        <b/>
        <vertAlign val="superscript"/>
        <sz val="10"/>
        <rFont val="Arial"/>
      </rPr>
      <t>(a)</t>
    </r>
    <r>
      <rPr>
        <b/>
        <sz val="10"/>
        <rFont val="Arial"/>
      </rPr>
      <t xml:space="preserve"> with an episode end status of Admitted to this hospital</t>
    </r>
    <r>
      <rPr>
        <b/>
        <vertAlign val="superscript"/>
        <sz val="10"/>
        <rFont val="Arial"/>
      </rPr>
      <t>(b)</t>
    </r>
    <r>
      <rPr>
        <b/>
        <sz val="10"/>
        <rFont val="Arial"/>
      </rPr>
      <t>, by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</si>
  <si>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									</t>
    </r>
  </si>
  <si>
    <r>
      <rPr>
        <sz val="7"/>
        <color theme="1"/>
        <rFont val="Arial"/>
      </rPr>
      <t xml:space="preserve">(b)     Includes presentations for which the episode end status was </t>
    </r>
    <r>
      <rPr>
        <i/>
        <sz val="7"/>
        <color theme="1"/>
        <rFont val="Arial"/>
      </rPr>
      <t>Transferred for admitted patient care in this hospital (either short stay unit, hospital-in-the-home, or non-emergency department hospital ward)</t>
    </r>
    <r>
      <rPr>
        <sz val="7"/>
        <color theme="1"/>
        <rFont val="Arial"/>
      </rPr>
      <t xml:space="preserve">.																	</t>
    </r>
  </si>
  <si>
    <r>
      <rPr>
        <sz val="7"/>
        <color theme="1"/>
        <rFont val="Arial"/>
      </rPr>
      <t xml:space="preserve">(c)     Includes presentations for which the Triage category was not reported.									</t>
    </r>
  </si>
  <si>
    <t>Admitted to the hospital</t>
  </si>
  <si>
    <t>Proportion (%)</t>
  </si>
  <si>
    <r>
      <rPr>
        <sz val="7"/>
        <rFont val="Arial"/>
      </rPr>
      <t xml:space="preserve">(a)     Includes records for which the episode end status was reported as </t>
    </r>
    <r>
      <rPr>
        <i/>
        <sz val="7"/>
        <color theme="1"/>
        <rFont val="Arial"/>
      </rPr>
      <t xml:space="preserve">Left at own risk, Died in emergency department, Dead on arrival, Registered, advised of another health care service and left without being attended to </t>
    </r>
    <r>
      <rPr>
        <sz val="7"/>
        <color theme="1"/>
        <rFont val="Arial"/>
      </rPr>
      <t>or</t>
    </r>
    <r>
      <rPr>
        <i/>
        <sz val="7"/>
        <color theme="1"/>
        <rFont val="Arial"/>
      </rPr>
      <t xml:space="preserve"> Not reported</t>
    </r>
    <r>
      <rPr>
        <sz val="7"/>
        <color theme="1"/>
        <rFont val="Arial"/>
      </rPr>
      <t>.</t>
    </r>
  </si>
  <si>
    <r>
      <rPr>
        <sz val="7"/>
        <color theme="1"/>
        <rFont val="Arial"/>
      </rPr>
      <t>(b)     Includes records for which the age of the patient could not be calculated.</t>
    </r>
  </si>
  <si>
    <r>
      <rPr>
        <b/>
        <sz val="10"/>
        <rFont val="Arial"/>
      </rPr>
      <t>Table 4.16: Emergency department presentations, by funding source</t>
    </r>
    <r>
      <rPr>
        <b/>
        <vertAlign val="superscript"/>
        <sz val="10"/>
        <rFont val="Arial"/>
      </rPr>
      <t>(a)</t>
    </r>
    <r>
      <rPr>
        <b/>
        <sz val="10"/>
        <rFont val="Arial"/>
      </rPr>
      <t>, 2024–25</t>
    </r>
  </si>
  <si>
    <t>Funding source</t>
  </si>
  <si>
    <t>Health service budget (not covered elsewhere)</t>
  </si>
  <si>
    <t>Health service budget (due to eligibility for Reciprocal Health Care Agreement)</t>
  </si>
  <si>
    <t>Health service budget (no charge raised due to hospital decision)</t>
  </si>
  <si>
    <t>Department of Veterans' Affairs'</t>
  </si>
  <si>
    <t>Department of Defence</t>
  </si>
  <si>
    <t>Correctional facility</t>
  </si>
  <si>
    <t>Medicare Benefits Schedule</t>
  </si>
  <si>
    <t>Private health insurance</t>
  </si>
  <si>
    <t>Worker's compensation</t>
  </si>
  <si>
    <t>Motor vehicle third party personal claim</t>
  </si>
  <si>
    <t>Other compensation (e.g. public liability, common law, medical negligence)</t>
  </si>
  <si>
    <t>Self-funded</t>
  </si>
  <si>
    <t>Other funding source</t>
  </si>
  <si>
    <t>Not known</t>
  </si>
  <si>
    <r>
      <rPr>
        <sz val="7"/>
        <rFont val="Arial"/>
      </rPr>
      <t xml:space="preserve">(a)     Data for </t>
    </r>
    <r>
      <rPr>
        <i/>
        <sz val="7"/>
        <color theme="1"/>
        <rFont val="Arial"/>
      </rPr>
      <t>Funding source</t>
    </r>
    <r>
      <rPr>
        <sz val="7"/>
        <color theme="1"/>
        <rFont val="Arial"/>
      </rPr>
      <t xml:space="preserve"> has been collected for the first time in 2024–25 and hence should be interpreted with caution.																			</t>
    </r>
  </si>
  <si>
    <r>
      <rPr>
        <b/>
        <sz val="10"/>
        <rFont val="Arial"/>
      </rPr>
      <t>Table 5.1: Emergency presentation</t>
    </r>
    <r>
      <rPr>
        <b/>
        <vertAlign val="superscript"/>
        <sz val="10"/>
        <rFont val="Arial"/>
      </rPr>
      <t>(a)</t>
    </r>
    <r>
      <rPr>
        <b/>
        <sz val="10"/>
        <rFont val="Arial"/>
      </rPr>
      <t xml:space="preserve"> waiting time statistics</t>
    </r>
    <r>
      <rPr>
        <b/>
        <vertAlign val="superscript"/>
        <sz val="10"/>
        <rFont val="Arial"/>
      </rPr>
      <t>(b)</t>
    </r>
    <r>
      <rPr>
        <b/>
        <sz val="10"/>
        <rFont val="Arial"/>
      </rPr>
      <t>, states and territories, 2020–21 to 2024–25</t>
    </r>
  </si>
  <si>
    <t>Median waiting time (minutes)</t>
  </si>
  <si>
    <t>90th percentile waiting time (minutes)</t>
  </si>
  <si>
    <t>Proportion seen on time (%)</t>
  </si>
  <si>
    <r>
      <rPr>
        <sz val="7"/>
        <rFont val="Arial"/>
      </rPr>
      <t xml:space="preserve">Note: </t>
    </r>
    <r>
      <rPr>
        <i/>
        <sz val="7"/>
        <color theme="1"/>
        <rFont val="Arial"/>
      </rPr>
      <t>Median waiting time</t>
    </r>
    <r>
      <rPr>
        <sz val="7"/>
        <color theme="1"/>
        <rFont val="Arial"/>
      </rPr>
      <t xml:space="preserve"> is equivalent to the time within which 50% of patients were seen; </t>
    </r>
    <r>
      <rPr>
        <i/>
        <sz val="7"/>
        <color theme="1"/>
        <rFont val="Arial"/>
      </rPr>
      <t>90th percentile waiting time</t>
    </r>
    <r>
      <rPr>
        <sz val="7"/>
        <color theme="1"/>
        <rFont val="Arial"/>
      </rPr>
      <t xml:space="preserve"> is equivalent to the time within which 90% of patients were seen.					</t>
    </r>
  </si>
  <si>
    <r>
      <rPr>
        <sz val="7"/>
        <color theme="1"/>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</si>
  <si>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 xml:space="preserve">(b)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by a health care professional</t>
    </r>
    <r>
      <rPr>
        <sz val="7"/>
        <color theme="1"/>
        <rFont val="Arial"/>
      </rPr>
      <t xml:space="preserve">, or if the waiting time could not be calculated, or the triage category was missing.			</t>
    </r>
  </si>
  <si>
    <r>
      <rPr>
        <b/>
        <sz val="10"/>
        <rFont val="Arial"/>
      </rPr>
      <t>Table 5.2: Proportion (%) of Emergency presentations</t>
    </r>
    <r>
      <rPr>
        <b/>
        <vertAlign val="superscript"/>
        <sz val="10"/>
        <rFont val="Arial"/>
      </rPr>
      <t>(a)</t>
    </r>
    <r>
      <rPr>
        <b/>
        <sz val="10"/>
        <rFont val="Arial"/>
      </rPr>
      <t> ending in admission</t>
    </r>
    <r>
      <rPr>
        <b/>
        <vertAlign val="superscript"/>
        <sz val="10"/>
        <rFont val="Arial"/>
      </rPr>
      <t>(b)</t>
    </r>
    <r>
      <rPr>
        <b/>
        <sz val="10"/>
        <rFont val="Arial"/>
      </rPr>
      <t>, by public hospital peer group and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</si>
  <si>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 and excludes records where triage category is missing.					</t>
    </r>
  </si>
  <si>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t>
    </r>
  </si>
  <si>
    <r>
      <rPr>
        <b/>
        <sz val="10"/>
        <rFont val="Arial"/>
      </rPr>
      <t>Table 5.3: Proportion (%) of Emergency presentations</t>
    </r>
    <r>
      <rPr>
        <b/>
        <vertAlign val="superscript"/>
        <sz val="10"/>
        <rFont val="Arial"/>
      </rPr>
      <t>(a)</t>
    </r>
    <r>
      <rPr>
        <b/>
        <sz val="10"/>
        <rFont val="Arial"/>
      </rPr>
      <t xml:space="preserve"> seen on time</t>
    </r>
    <r>
      <rPr>
        <b/>
        <vertAlign val="superscript"/>
        <sz val="10"/>
        <rFont val="Arial"/>
      </rPr>
      <t>(b)</t>
    </r>
    <r>
      <rPr>
        <b/>
        <sz val="10"/>
        <rFont val="Arial"/>
      </rPr>
      <t>, by public hospital peer group and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</si>
  <si>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</si>
  <si>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 xml:space="preserve">(b)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to by a health care professional,</t>
    </r>
    <r>
      <rPr>
        <sz val="7"/>
        <color theme="1"/>
        <rFont val="Arial"/>
      </rPr>
      <t xml:space="preserve"> or if the waiting time could not be calculated, or the triage category was unknown.</t>
    </r>
  </si>
  <si>
    <r>
      <rPr>
        <b/>
        <sz val="10"/>
        <rFont val="Arial"/>
      </rPr>
      <t>Table 5.4: Median waiting time</t>
    </r>
    <r>
      <rPr>
        <b/>
        <vertAlign val="superscript"/>
        <sz val="10"/>
        <rFont val="Arial"/>
      </rPr>
      <t>(a)</t>
    </r>
    <r>
      <rPr>
        <b/>
        <sz val="10"/>
        <rFont val="Arial"/>
      </rPr>
      <t xml:space="preserve"> (minutes) for Emergency presentations</t>
    </r>
    <r>
      <rPr>
        <b/>
        <vertAlign val="superscript"/>
        <sz val="10"/>
        <rFont val="Arial"/>
      </rPr>
      <t>(b)</t>
    </r>
    <r>
      <rPr>
        <b/>
        <sz val="10"/>
        <rFont val="Arial"/>
      </rPr>
      <t>, by remoteness area of usual residence and triage category, 2024–25</t>
    </r>
  </si>
  <si>
    <r>
      <rPr>
        <sz val="7"/>
        <rFont val="Arial"/>
      </rPr>
      <t xml:space="preserve">Note: </t>
    </r>
    <r>
      <rPr>
        <i/>
        <sz val="7"/>
        <color theme="1"/>
        <rFont val="Arial"/>
      </rPr>
      <t>Median waiting time</t>
    </r>
    <r>
      <rPr>
        <sz val="7"/>
        <color theme="1"/>
        <rFont val="Arial"/>
      </rPr>
      <t xml:space="preserve"> is equivalent to the time within which 50% of patients were seen.					</t>
    </r>
  </si>
  <si>
    <r>
      <rPr>
        <sz val="7"/>
        <color theme="1"/>
        <rFont val="Arial"/>
      </rPr>
      <t xml:space="preserve">(a)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by a health care professional</t>
    </r>
    <r>
      <rPr>
        <sz val="7"/>
        <color theme="1"/>
        <rFont val="Arial"/>
      </rPr>
      <t xml:space="preserve">, or if the waiting time could not be calculated, or the triage category was unknown.		</t>
    </r>
  </si>
  <si>
    <r>
      <rPr>
        <sz val="7"/>
        <color theme="1"/>
        <rFont val="Arial"/>
      </rPr>
      <t xml:space="preserve">(b)     Data relate to presentations with a type of visit of </t>
    </r>
    <r>
      <rPr>
        <i/>
        <sz val="7"/>
        <color theme="1"/>
        <rFont val="Arial"/>
      </rPr>
      <t>Emergency presentation</t>
    </r>
    <r>
      <rPr>
        <sz val="7"/>
        <color theme="1"/>
        <rFont val="Arial"/>
      </rPr>
      <t xml:space="preserve"> only.			</t>
    </r>
  </si>
  <si>
    <r>
      <rPr>
        <sz val="7"/>
        <color theme="1"/>
        <rFont val="Arial"/>
      </rPr>
      <t>(c)     Includes presentations for which the remoteness area was</t>
    </r>
    <r>
      <rPr>
        <i/>
        <sz val="7"/>
        <color theme="1"/>
        <rFont val="Arial"/>
      </rPr>
      <t xml:space="preserve"> Migratory - off-shore - shipping</t>
    </r>
    <r>
      <rPr>
        <sz val="7"/>
        <color theme="1"/>
        <rFont val="Arial"/>
      </rPr>
      <t xml:space="preserve">, </t>
    </r>
    <r>
      <rPr>
        <i/>
        <sz val="7"/>
        <color theme="1"/>
        <rFont val="Arial"/>
      </rPr>
      <t>outside Australia</t>
    </r>
    <r>
      <rPr>
        <sz val="7"/>
        <color theme="1"/>
        <rFont val="Arial"/>
      </rPr>
      <t xml:space="preserve"> or unknown.</t>
    </r>
  </si>
  <si>
    <r>
      <rPr>
        <b/>
        <sz val="10"/>
        <rFont val="Arial"/>
      </rPr>
      <t>Table 5.5: Proportion</t>
    </r>
    <r>
      <rPr>
        <b/>
        <vertAlign val="superscript"/>
        <sz val="10"/>
        <rFont val="Arial"/>
      </rPr>
      <t>(a)</t>
    </r>
    <r>
      <rPr>
        <b/>
        <sz val="10"/>
        <rFont val="Arial"/>
      </rPr>
      <t xml:space="preserve"> (%) of Emergency presentations</t>
    </r>
    <r>
      <rPr>
        <b/>
        <vertAlign val="superscript"/>
        <sz val="10"/>
        <rFont val="Arial"/>
      </rPr>
      <t>(b)</t>
    </r>
    <r>
      <rPr>
        <b/>
        <sz val="10"/>
        <rFont val="Arial"/>
      </rPr>
      <t xml:space="preserve"> seen on time, by triage category and Indigenous status, states and territories, 2024–25</t>
    </r>
  </si>
  <si>
    <t>Indigenous status not reported</t>
  </si>
  <si>
    <r>
      <rPr>
        <sz val="7"/>
        <rFont val="Arial"/>
      </rPr>
      <t xml:space="preserve">(a)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to by a health care professional</t>
    </r>
    <r>
      <rPr>
        <sz val="7"/>
        <color theme="1"/>
        <rFont val="Arial"/>
      </rPr>
      <t>, or if the waiting time could not be calculated, or the triage category was unknown.</t>
    </r>
  </si>
  <si>
    <r>
      <rPr>
        <sz val="7"/>
        <color theme="1"/>
        <rFont val="Arial"/>
      </rPr>
      <t xml:space="preserve">(b)     Data relate to presentations with a type of visit of </t>
    </r>
    <r>
      <rPr>
        <i/>
        <sz val="7"/>
        <color theme="1"/>
        <rFont val="Arial"/>
      </rPr>
      <t>Emergency presentation</t>
    </r>
    <r>
      <rPr>
        <sz val="7"/>
        <color theme="1"/>
        <rFont val="Arial"/>
      </rPr>
      <t xml:space="preserve"> only.</t>
    </r>
  </si>
  <si>
    <r>
      <rPr>
        <sz val="7"/>
        <color theme="1"/>
        <rFont val="Arial"/>
      </rPr>
      <t xml:space="preserve">(c)     Does not include records for which the triage category was unknown.			</t>
    </r>
  </si>
  <si>
    <r>
      <rPr>
        <b/>
        <sz val="10"/>
        <rFont val="Arial"/>
      </rPr>
      <t>Table 5.6: Emergency presentations</t>
    </r>
    <r>
      <rPr>
        <b/>
        <vertAlign val="superscript"/>
        <sz val="10"/>
        <rFont val="Arial"/>
      </rPr>
      <t>(a)</t>
    </r>
    <r>
      <rPr>
        <b/>
        <sz val="10"/>
        <rFont val="Arial"/>
      </rPr>
      <t xml:space="preserve"> and median waiting time</t>
    </r>
    <r>
      <rPr>
        <b/>
        <vertAlign val="superscript"/>
        <sz val="10"/>
        <rFont val="Arial"/>
      </rPr>
      <t>(b)</t>
    </r>
    <r>
      <rPr>
        <b/>
        <sz val="10"/>
        <rFont val="Arial"/>
      </rPr>
      <t xml:space="preserve"> (minutes), by Indigenous status and triage category, states and territories, 2024–25</t>
    </r>
  </si>
  <si>
    <t>Median waiting time (mins)</t>
  </si>
  <si>
    <r>
      <rPr>
        <sz val="7"/>
        <rFont val="Arial"/>
      </rPr>
      <t xml:space="preserve">Note: </t>
    </r>
    <r>
      <rPr>
        <i/>
        <sz val="7"/>
        <color theme="1"/>
        <rFont val="Arial"/>
      </rPr>
      <t>Median waiting time</t>
    </r>
    <r>
      <rPr>
        <sz val="7"/>
        <color theme="1"/>
        <rFont val="Arial"/>
      </rPr>
      <t xml:space="preserve"> is equivalent to the time within which 50% of patients were seen.</t>
    </r>
  </si>
  <si>
    <r>
      <rPr>
        <sz val="7"/>
        <color theme="1"/>
        <rFont val="Arial"/>
      </rPr>
      <t xml:space="preserve">(a)     Data relate to presentations with a type of visit of Emergency presentation only.		</t>
    </r>
  </si>
  <si>
    <r>
      <rPr>
        <sz val="7"/>
        <color theme="1"/>
        <rFont val="Arial"/>
      </rPr>
      <t xml:space="preserve">(b)     Records were excluded from the calculation of waiting time if the patient Did not wait to be attended to by a health care professional, was Dead on arrival, was Registered, advised of another health care service, and left the emergency department without being attended by a health care professional, or if the waiting time could not be calculated, or the triage category was unknown.		</t>
    </r>
  </si>
  <si>
    <r>
      <rPr>
        <sz val="7"/>
        <color theme="1"/>
        <rFont val="Arial"/>
      </rPr>
      <t>(c)     The total number of Emergency presentations includes records for which waiting times could not be calculated.</t>
    </r>
  </si>
  <si>
    <r>
      <rPr>
        <sz val="7"/>
        <color theme="1"/>
        <rFont val="Arial"/>
      </rPr>
      <t>(d)     The total number of Emergency presentations includes records for which the triage category was unknown.</t>
    </r>
  </si>
  <si>
    <r>
      <rPr>
        <b/>
        <sz val="10"/>
        <rFont val="Arial"/>
      </rPr>
      <t>Table 6.1: Emergency department presentations</t>
    </r>
    <r>
      <rPr>
        <b/>
        <vertAlign val="superscript"/>
        <sz val="10"/>
        <rFont val="Arial"/>
      </rPr>
      <t>(a)</t>
    </r>
    <r>
      <rPr>
        <b/>
        <sz val="10"/>
        <rFont val="Arial"/>
      </rPr>
      <t xml:space="preserve"> 90th percentile length of emergency department stay</t>
    </r>
    <r>
      <rPr>
        <b/>
        <vertAlign val="superscript"/>
        <sz val="10"/>
        <rFont val="Arial"/>
      </rPr>
      <t>(b)</t>
    </r>
    <r>
      <rPr>
        <b/>
        <sz val="10"/>
        <rFont val="Arial"/>
      </rPr>
      <t xml:space="preserve"> (hours: minutes), by admission status, states and territories, 2020–21 to 2024–25</t>
    </r>
  </si>
  <si>
    <t>Admission status</t>
  </si>
  <si>
    <t>15:25</t>
  </si>
  <si>
    <t>17:55</t>
  </si>
  <si>
    <t>20:53</t>
  </si>
  <si>
    <t>20:30</t>
  </si>
  <si>
    <t>20:40</t>
  </si>
  <si>
    <t>12:46</t>
  </si>
  <si>
    <t>16:10</t>
  </si>
  <si>
    <t>18:55</t>
  </si>
  <si>
    <t>17:43</t>
  </si>
  <si>
    <t>17:47</t>
  </si>
  <si>
    <t>10:21</t>
  </si>
  <si>
    <t>12:22</t>
  </si>
  <si>
    <t>14:44</t>
  </si>
  <si>
    <t>16:11</t>
  </si>
  <si>
    <t>18:03</t>
  </si>
  <si>
    <t>10:59</t>
  </si>
  <si>
    <t>13:11</t>
  </si>
  <si>
    <t>15:42</t>
  </si>
  <si>
    <t>15:55</t>
  </si>
  <si>
    <t>19:09</t>
  </si>
  <si>
    <t>15:06</t>
  </si>
  <si>
    <t>18:06</t>
  </si>
  <si>
    <t>19:05</t>
  </si>
  <si>
    <t>20:16</t>
  </si>
  <si>
    <t>22:33</t>
  </si>
  <si>
    <t>23:49</t>
  </si>
  <si>
    <t>25:47</t>
  </si>
  <si>
    <t>24:56</t>
  </si>
  <si>
    <t>23:40</t>
  </si>
  <si>
    <t>12:18</t>
  </si>
  <si>
    <t>13:14</t>
  </si>
  <si>
    <t>13:26</t>
  </si>
  <si>
    <t>10:07</t>
  </si>
  <si>
    <t xml:space="preserve"> 8:38</t>
  </si>
  <si>
    <t>13:54</t>
  </si>
  <si>
    <t>17:26</t>
  </si>
  <si>
    <t>14:45</t>
  </si>
  <si>
    <t>17:29</t>
  </si>
  <si>
    <t>12:57</t>
  </si>
  <si>
    <t>15:37</t>
  </si>
  <si>
    <t>18:23</t>
  </si>
  <si>
    <t>18:17</t>
  </si>
  <si>
    <t>18:57</t>
  </si>
  <si>
    <t xml:space="preserve"> 5:37</t>
  </si>
  <si>
    <t xml:space="preserve"> 6:18</t>
  </si>
  <si>
    <t xml:space="preserve"> 7:01</t>
  </si>
  <si>
    <t xml:space="preserve"> 7:13</t>
  </si>
  <si>
    <t xml:space="preserve"> 7:23</t>
  </si>
  <si>
    <t xml:space="preserve"> 6:31</t>
  </si>
  <si>
    <t xml:space="preserve"> 7:25</t>
  </si>
  <si>
    <t xml:space="preserve"> 7:55</t>
  </si>
  <si>
    <t xml:space="preserve"> 7:44</t>
  </si>
  <si>
    <t xml:space="preserve"> 7:48</t>
  </si>
  <si>
    <t xml:space="preserve"> 5:35</t>
  </si>
  <si>
    <t xml:space="preserve"> 6:26</t>
  </si>
  <si>
    <t xml:space="preserve"> 7:08</t>
  </si>
  <si>
    <t xml:space="preserve"> 7:36</t>
  </si>
  <si>
    <t xml:space="preserve"> 7:58</t>
  </si>
  <si>
    <t xml:space="preserve"> 6:21</t>
  </si>
  <si>
    <t xml:space="preserve"> 6:54</t>
  </si>
  <si>
    <t xml:space="preserve"> 7:02</t>
  </si>
  <si>
    <t xml:space="preserve"> 7:57</t>
  </si>
  <si>
    <t xml:space="preserve"> 6:34</t>
  </si>
  <si>
    <t xml:space="preserve"> 8:24</t>
  </si>
  <si>
    <t xml:space="preserve"> 8:28</t>
  </si>
  <si>
    <t xml:space="preserve"> 8:42</t>
  </si>
  <si>
    <t xml:space="preserve"> 6:41</t>
  </si>
  <si>
    <t xml:space="preserve"> 6:56</t>
  </si>
  <si>
    <t xml:space="preserve"> 7:28</t>
  </si>
  <si>
    <t xml:space="preserve"> 7:34</t>
  </si>
  <si>
    <t xml:space="preserve"> 8:06</t>
  </si>
  <si>
    <t xml:space="preserve"> 6:30</t>
  </si>
  <si>
    <t xml:space="preserve"> 7:19</t>
  </si>
  <si>
    <t xml:space="preserve"> 7:35</t>
  </si>
  <si>
    <t xml:space="preserve"> 6:33</t>
  </si>
  <si>
    <t xml:space="preserve"> 6:05</t>
  </si>
  <si>
    <t xml:space="preserve"> 5:18</t>
  </si>
  <si>
    <t xml:space="preserve"> 6:20</t>
  </si>
  <si>
    <t xml:space="preserve"> 6:27</t>
  </si>
  <si>
    <t xml:space="preserve"> 7:00</t>
  </si>
  <si>
    <t xml:space="preserve"> 7:12</t>
  </si>
  <si>
    <t xml:space="preserve"> 5:53</t>
  </si>
  <si>
    <t xml:space="preserve"> 6:38</t>
  </si>
  <si>
    <t xml:space="preserve"> 7:27</t>
  </si>
  <si>
    <t xml:space="preserve"> 8:01</t>
  </si>
  <si>
    <t xml:space="preserve"> 9:02</t>
  </si>
  <si>
    <t>10:31</t>
  </si>
  <si>
    <t>10:50</t>
  </si>
  <si>
    <t>11:09</t>
  </si>
  <si>
    <t xml:space="preserve"> 8:48</t>
  </si>
  <si>
    <t>10:26</t>
  </si>
  <si>
    <t>12:00</t>
  </si>
  <si>
    <t>11:30</t>
  </si>
  <si>
    <t>11:34</t>
  </si>
  <si>
    <t xml:space="preserve"> 7:14</t>
  </si>
  <si>
    <t xml:space="preserve"> 8:23</t>
  </si>
  <si>
    <t xml:space="preserve"> 9:40</t>
  </si>
  <si>
    <t>11:27</t>
  </si>
  <si>
    <t xml:space="preserve"> 7:10</t>
  </si>
  <si>
    <t xml:space="preserve"> 8:12</t>
  </si>
  <si>
    <t xml:space="preserve"> 9:15</t>
  </si>
  <si>
    <t xml:space="preserve"> 9:22</t>
  </si>
  <si>
    <t>10:49</t>
  </si>
  <si>
    <t xml:space="preserve"> 9:17</t>
  </si>
  <si>
    <t>11:05</t>
  </si>
  <si>
    <t>11:31</t>
  </si>
  <si>
    <t>11:59</t>
  </si>
  <si>
    <t>11:08</t>
  </si>
  <si>
    <t>11:41</t>
  </si>
  <si>
    <t>13:33</t>
  </si>
  <si>
    <t>13:47</t>
  </si>
  <si>
    <t>14:01</t>
  </si>
  <si>
    <t xml:space="preserve"> 8:35</t>
  </si>
  <si>
    <t xml:space="preserve"> 9:26</t>
  </si>
  <si>
    <t xml:space="preserve"> 9:49</t>
  </si>
  <si>
    <t xml:space="preserve"> 7:17</t>
  </si>
  <si>
    <t xml:space="preserve"> 8:57</t>
  </si>
  <si>
    <t>10:47</t>
  </si>
  <si>
    <t>10:32</t>
  </si>
  <si>
    <t xml:space="preserve"> 8:00</t>
  </si>
  <si>
    <t xml:space="preserve"> 9:10</t>
  </si>
  <si>
    <t>10:45</t>
  </si>
  <si>
    <t>11:16</t>
  </si>
  <si>
    <r>
      <rPr>
        <sz val="7"/>
        <rFont val="Arial"/>
      </rPr>
      <t xml:space="preserve">(a)     Includes presentations for all types of visit.					</t>
    </r>
  </si>
  <si>
    <r>
      <rPr>
        <sz val="7"/>
        <rFont val="Arial"/>
      </rPr>
      <t>(b)     Length of stay is calculated as the length of time between presentation to the emergency department and physical departure.</t>
    </r>
  </si>
  <si>
    <r>
      <rPr>
        <sz val="7"/>
        <rFont val="Arial"/>
      </rPr>
      <t xml:space="preserve">(c)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</si>
  <si>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</si>
  <si>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b/>
        <sz val="10"/>
        <rFont val="Arial"/>
      </rPr>
      <t>Table 6.2: Emergency department presentations</t>
    </r>
    <r>
      <rPr>
        <b/>
        <vertAlign val="superscript"/>
        <sz val="10"/>
        <rFont val="Arial"/>
      </rPr>
      <t>(a)</t>
    </r>
    <r>
      <rPr>
        <b/>
        <sz val="10"/>
        <rFont val="Arial"/>
      </rPr>
      <t xml:space="preserve"> 90th percentile length of stay</t>
    </r>
    <r>
      <rPr>
        <b/>
        <vertAlign val="superscript"/>
        <sz val="10"/>
        <rFont val="Arial"/>
      </rPr>
      <t>(b)</t>
    </r>
    <r>
      <rPr>
        <b/>
        <sz val="10"/>
        <rFont val="Arial"/>
      </rPr>
      <t xml:space="preserve"> (hours: minutes), by triage category and admission status, states and territories, 2024–25</t>
    </r>
  </si>
  <si>
    <t>19:12</t>
  </si>
  <si>
    <t>17:06</t>
  </si>
  <si>
    <t>17:32</t>
  </si>
  <si>
    <t>15:41</t>
  </si>
  <si>
    <t>17:58</t>
  </si>
  <si>
    <t>17:56</t>
  </si>
  <si>
    <t xml:space="preserve"> 8:52</t>
  </si>
  <si>
    <t>15:48</t>
  </si>
  <si>
    <t>17:40</t>
  </si>
  <si>
    <t>21:08</t>
  </si>
  <si>
    <t>18:53</t>
  </si>
  <si>
    <t>19:04</t>
  </si>
  <si>
    <t>18:22</t>
  </si>
  <si>
    <t>20:06</t>
  </si>
  <si>
    <t>24:08</t>
  </si>
  <si>
    <t xml:space="preserve"> 8:11</t>
  </si>
  <si>
    <t>17:07</t>
  </si>
  <si>
    <t>19:34</t>
  </si>
  <si>
    <t>20:54</t>
  </si>
  <si>
    <t>17:57</t>
  </si>
  <si>
    <t>20:03</t>
  </si>
  <si>
    <t>21:12</t>
  </si>
  <si>
    <t>23:57</t>
  </si>
  <si>
    <t xml:space="preserve"> 9:07</t>
  </si>
  <si>
    <t>19:11</t>
  </si>
  <si>
    <t>19:35</t>
  </si>
  <si>
    <t>15:05</t>
  </si>
  <si>
    <t>15:45</t>
  </si>
  <si>
    <t>18:14</t>
  </si>
  <si>
    <t>18:04</t>
  </si>
  <si>
    <t>22:15</t>
  </si>
  <si>
    <t xml:space="preserve"> 8:08</t>
  </si>
  <si>
    <t>15:13</t>
  </si>
  <si>
    <t>17:09</t>
  </si>
  <si>
    <t>14:55</t>
  </si>
  <si>
    <t>13:55</t>
  </si>
  <si>
    <t>14:08</t>
  </si>
  <si>
    <t>17:03</t>
  </si>
  <si>
    <t>19:19</t>
  </si>
  <si>
    <t xml:space="preserve"> 7:09</t>
  </si>
  <si>
    <t>12:49</t>
  </si>
  <si>
    <t>13:38</t>
  </si>
  <si>
    <t>13:12</t>
  </si>
  <si>
    <t>13:43</t>
  </si>
  <si>
    <t>12:05</t>
  </si>
  <si>
    <t>11:24</t>
  </si>
  <si>
    <t>15:33</t>
  </si>
  <si>
    <t>10:56</t>
  </si>
  <si>
    <t>13:05</t>
  </si>
  <si>
    <t xml:space="preserve"> 9:57</t>
  </si>
  <si>
    <t xml:space="preserve"> 9:32</t>
  </si>
  <si>
    <t xml:space="preserve"> 9:52</t>
  </si>
  <si>
    <t xml:space="preserve"> 9:23</t>
  </si>
  <si>
    <t>11:29</t>
  </si>
  <si>
    <t xml:space="preserve"> 6:58</t>
  </si>
  <si>
    <t xml:space="preserve"> 9:55</t>
  </si>
  <si>
    <t xml:space="preserve"> 8:36</t>
  </si>
  <si>
    <t xml:space="preserve"> 8:46</t>
  </si>
  <si>
    <t xml:space="preserve"> 8:44</t>
  </si>
  <si>
    <t>10:04</t>
  </si>
  <si>
    <t xml:space="preserve"> 9:13</t>
  </si>
  <si>
    <t xml:space="preserve"> 6:44</t>
  </si>
  <si>
    <t xml:space="preserve"> 8:51</t>
  </si>
  <si>
    <t xml:space="preserve"> 6:15</t>
  </si>
  <si>
    <t xml:space="preserve"> 6:25</t>
  </si>
  <si>
    <t xml:space="preserve"> 7:26</t>
  </si>
  <si>
    <t xml:space="preserve"> 6:39</t>
  </si>
  <si>
    <t xml:space="preserve"> 6:36</t>
  </si>
  <si>
    <t xml:space="preserve"> 6:28</t>
  </si>
  <si>
    <t xml:space="preserve"> 4:18</t>
  </si>
  <si>
    <t xml:space="preserve"> 4:52</t>
  </si>
  <si>
    <t xml:space="preserve"> 5:04</t>
  </si>
  <si>
    <t xml:space="preserve"> 4:40</t>
  </si>
  <si>
    <t xml:space="preserve"> 5:28</t>
  </si>
  <si>
    <t xml:space="preserve"> 5:36</t>
  </si>
  <si>
    <t xml:space="preserve"> 4:25</t>
  </si>
  <si>
    <t xml:space="preserve"> 5:11</t>
  </si>
  <si>
    <t>17:23</t>
  </si>
  <si>
    <t>16:09</t>
  </si>
  <si>
    <t>16:14</t>
  </si>
  <si>
    <t>15:26</t>
  </si>
  <si>
    <t>16:01</t>
  </si>
  <si>
    <t>16:53</t>
  </si>
  <si>
    <t xml:space="preserve"> 9:31</t>
  </si>
  <si>
    <t>16:20</t>
  </si>
  <si>
    <t>16:13</t>
  </si>
  <si>
    <t>16:22</t>
  </si>
  <si>
    <t>14:46</t>
  </si>
  <si>
    <t>14:27</t>
  </si>
  <si>
    <t>15:14</t>
  </si>
  <si>
    <t>20:00</t>
  </si>
  <si>
    <t xml:space="preserve"> 7:52</t>
  </si>
  <si>
    <t>13:48</t>
  </si>
  <si>
    <t>13:24</t>
  </si>
  <si>
    <t>12:54</t>
  </si>
  <si>
    <t>12:13</t>
  </si>
  <si>
    <t>12:48</t>
  </si>
  <si>
    <t>13:41</t>
  </si>
  <si>
    <t>15:53</t>
  </si>
  <si>
    <t>12:52</t>
  </si>
  <si>
    <t xml:space="preserve"> 7:40</t>
  </si>
  <si>
    <t xml:space="preserve"> 7:56</t>
  </si>
  <si>
    <t xml:space="preserve"> 8:56</t>
  </si>
  <si>
    <t xml:space="preserve"> 6:22</t>
  </si>
  <si>
    <t xml:space="preserve"> 8:15</t>
  </si>
  <si>
    <t xml:space="preserve"> 7:54</t>
  </si>
  <si>
    <t xml:space="preserve"> 4:41</t>
  </si>
  <si>
    <t xml:space="preserve"> 5:33</t>
  </si>
  <si>
    <t xml:space="preserve"> 4:58</t>
  </si>
  <si>
    <t xml:space="preserve"> 5:55</t>
  </si>
  <si>
    <t xml:space="preserve"> 6:00</t>
  </si>
  <si>
    <t xml:space="preserve"> 4:45</t>
  </si>
  <si>
    <t xml:space="preserve"> 5:54</t>
  </si>
  <si>
    <t xml:space="preserve"> 5:03</t>
  </si>
  <si>
    <r>
      <rPr>
        <sz val="7"/>
        <rFont val="Arial"/>
      </rPr>
      <t xml:space="preserve">(a)     Includes presentations for all types of visit.									</t>
    </r>
  </si>
  <si>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</si>
  <si>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(e)     The total includes presentations for which the triage category was not reported.									</t>
    </r>
  </si>
  <si>
    <r>
      <rPr>
        <b/>
        <sz val="10"/>
        <rFont val="Arial"/>
      </rPr>
      <t>Table 6.3: Proportion (%) of presentations</t>
    </r>
    <r>
      <rPr>
        <b/>
        <vertAlign val="superscript"/>
        <sz val="10"/>
        <rFont val="Arial"/>
      </rPr>
      <t>(a)</t>
    </r>
    <r>
      <rPr>
        <b/>
        <sz val="10"/>
        <rFont val="Arial"/>
      </rPr>
      <t xml:space="preserve"> to emergency departments with a length of stay of 4 hours or less, for all patients and patients subsequently admitted</t>
    </r>
    <r>
      <rPr>
        <b/>
        <vertAlign val="superscript"/>
        <sz val="10"/>
        <rFont val="Arial"/>
      </rPr>
      <t>(b)</t>
    </r>
    <r>
      <rPr>
        <b/>
        <sz val="10"/>
        <rFont val="Arial"/>
      </rPr>
      <t>, states and territories, 2020–21 to 2024–25</t>
    </r>
  </si>
  <si>
    <r>
      <rPr>
        <b/>
        <sz val="8"/>
        <rFont val="Arial"/>
      </rPr>
      <t>Admission status</t>
    </r>
    <r>
      <rPr>
        <b/>
        <vertAlign val="superscript"/>
        <sz val="8"/>
        <rFont val="Arial"/>
      </rPr>
      <t>(b)</t>
    </r>
  </si>
  <si>
    <r>
      <rPr>
        <sz val="7"/>
        <rFont val="Arial"/>
      </rPr>
      <t>(b)     Patient subsequently admitted is where the episode end status is</t>
    </r>
    <r>
      <rPr>
        <i/>
        <sz val="7"/>
        <color theme="1"/>
        <rFont val="Arial"/>
      </rPr>
      <t xml:space="preserve"> Transferred for admitted patient care in this hospital (either short stay unit, hospital-in-the-home or other admitted patient care unit)</t>
    </r>
    <r>
      <rPr>
        <sz val="7"/>
        <color theme="1"/>
        <rFont val="Arial"/>
      </rPr>
      <t>.</t>
    </r>
  </si>
  <si>
    <r>
      <rPr>
        <b/>
        <sz val="10"/>
        <rFont val="Arial"/>
      </rPr>
      <t>Table 6.4: Proportion (%) of presentations</t>
    </r>
    <r>
      <rPr>
        <b/>
        <vertAlign val="superscript"/>
        <sz val="10"/>
        <rFont val="Arial"/>
      </rPr>
      <t>(a)</t>
    </r>
    <r>
      <rPr>
        <b/>
        <sz val="10"/>
        <rFont val="Arial"/>
      </rPr>
      <t xml:space="preserve"> to emergency departments with a length of stay of 4 hours or less, by triage category and public hospital peer group, states and territories, 2024–25</t>
    </r>
  </si>
  <si>
    <t>(a)     Includes presentations for all types of visit.</t>
  </si>
  <si>
    <t>(b)     The total includes presentations for which the triage category was not reported.</t>
  </si>
  <si>
    <r>
      <rPr>
        <b/>
        <sz val="10"/>
        <rFont val="Arial"/>
      </rPr>
      <t>Table 6.5: Proportion (%) of presentations</t>
    </r>
    <r>
      <rPr>
        <b/>
        <vertAlign val="superscript"/>
        <sz val="10"/>
        <rFont val="Arial"/>
      </rPr>
      <t>(a)</t>
    </r>
    <r>
      <rPr>
        <b/>
        <sz val="10"/>
        <rFont val="Arial"/>
      </rPr>
      <t xml:space="preserve"> to emergency departments with a length of stay of 4 hours or less, for patients subsequently admitted to the hospital</t>
    </r>
    <r>
      <rPr>
        <b/>
        <vertAlign val="superscript"/>
        <sz val="10"/>
        <rFont val="Arial"/>
      </rPr>
      <t>(b)</t>
    </r>
    <r>
      <rPr>
        <b/>
        <sz val="10"/>
        <rFont val="Arial"/>
      </rPr>
      <t>, by triage category and public hospital peer group, states and territories, 2024–25</t>
    </r>
  </si>
  <si>
    <t>(b)     Patient subsequently admitted is where the episode end status is Transferred for admitted patient care in this hospital (either short stay unit, hospital-in-the-home or other admitted patient care unit).</t>
  </si>
  <si>
    <t>(c)     The total includes presentations for which the triage category was not reported.</t>
  </si>
  <si>
    <r>
      <rPr>
        <b/>
        <sz val="10"/>
        <rFont val="Arial"/>
      </rPr>
      <t>Table 6.6: Proportion (%) of presentations</t>
    </r>
    <r>
      <rPr>
        <b/>
        <vertAlign val="superscript"/>
        <sz val="10"/>
        <rFont val="Arial"/>
      </rPr>
      <t>(a)</t>
    </r>
    <r>
      <rPr>
        <b/>
        <sz val="10"/>
        <rFont val="Arial"/>
      </rPr>
      <t xml:space="preserve"> to emergency departments with a length of stay of 4 hours or less, for patients not subsequently admitted to the hospital</t>
    </r>
    <r>
      <rPr>
        <b/>
        <vertAlign val="superscript"/>
        <sz val="10"/>
        <rFont val="Arial"/>
      </rPr>
      <t>(b)</t>
    </r>
    <r>
      <rPr>
        <b/>
        <sz val="10"/>
        <rFont val="Arial"/>
      </rPr>
      <t>, by triage category and public hospital peer group, states and territories, 2024–25</t>
    </r>
  </si>
  <si>
    <r>
      <rPr>
        <sz val="7"/>
        <rFont val="Arial"/>
      </rPr>
      <t xml:space="preserve">(b)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t>
    </r>
  </si>
  <si>
    <r>
      <rPr>
        <sz val="7"/>
        <color theme="1"/>
        <rFont val="Arial"/>
      </rPr>
      <t xml:space="preserve">(c)     The total includes presentations for which the triage category was not reported.									</t>
    </r>
  </si>
  <si>
    <r>
      <rPr>
        <b/>
        <sz val="10"/>
        <rFont val="Arial"/>
      </rPr>
      <t>Table 6.7: Duration of clinical care statistics for Emergency presentations</t>
    </r>
    <r>
      <rPr>
        <b/>
        <vertAlign val="superscript"/>
        <sz val="10"/>
        <rFont val="Arial"/>
      </rPr>
      <t>(a)</t>
    </r>
    <r>
      <rPr>
        <b/>
        <sz val="10"/>
        <rFont val="Arial"/>
      </rPr>
      <t>, for patients subsequently admitted to this hospital</t>
    </r>
    <r>
      <rPr>
        <b/>
        <vertAlign val="superscript"/>
        <sz val="10"/>
        <rFont val="Arial"/>
      </rPr>
      <t>(b)</t>
    </r>
    <r>
      <rPr>
        <b/>
        <sz val="10"/>
        <rFont val="Arial"/>
      </rPr>
      <t>, by triage category, 2024–25</t>
    </r>
  </si>
  <si>
    <t>Duration</t>
  </si>
  <si>
    <t>Less than 1 hour</t>
  </si>
  <si>
    <r>
      <rPr>
        <sz val="8"/>
        <rFont val="Arial"/>
      </rPr>
      <t>Presentations</t>
    </r>
    <r>
      <rPr>
        <vertAlign val="superscript"/>
        <sz val="8"/>
        <rFont val="Arial"/>
      </rPr>
      <t>(a)</t>
    </r>
  </si>
  <si>
    <t>1 hour to &lt;2 hours</t>
  </si>
  <si>
    <t>2 hours to &lt;3 hours</t>
  </si>
  <si>
    <t>3 hours to &lt;4 hours</t>
  </si>
  <si>
    <t>4 hours or more</t>
  </si>
  <si>
    <r>
      <rPr>
        <b/>
        <sz val="8"/>
        <rFont val="Arial"/>
      </rPr>
      <t>Presentations</t>
    </r>
    <r>
      <rPr>
        <b/>
        <vertAlign val="superscript"/>
        <sz val="8"/>
        <rFont val="Arial"/>
      </rPr>
      <t>(a)</t>
    </r>
  </si>
  <si>
    <r>
      <rPr>
        <sz val="7"/>
        <rFont val="Arial"/>
      </rPr>
      <t xml:space="preserve">(a)     Includes presentations for which type of visit was </t>
    </r>
    <r>
      <rPr>
        <i/>
        <sz val="7"/>
        <color theme="1"/>
        <rFont val="Arial"/>
      </rPr>
      <t>Emergency presentation</t>
    </r>
    <r>
      <rPr>
        <sz val="7"/>
        <color theme="1"/>
        <rFont val="Arial"/>
      </rPr>
      <t xml:space="preserve"> only.						</t>
    </r>
  </si>
  <si>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</si>
  <si>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(c)     Includes records for which triage category was unknown.						</t>
    </r>
  </si>
  <si>
    <r>
      <rPr>
        <sz val="7"/>
        <color theme="1"/>
        <rFont val="Arial"/>
      </rPr>
      <t xml:space="preserve">(d)     Total includes records for which the duration of clinical care could not be calculated.	</t>
    </r>
  </si>
  <si>
    <r>
      <rPr>
        <b/>
        <sz val="10"/>
        <rFont val="Arial"/>
      </rPr>
      <t>Table 6.8: Duration of clinical care statistics for Emergency presentations</t>
    </r>
    <r>
      <rPr>
        <b/>
        <vertAlign val="superscript"/>
        <sz val="10"/>
        <rFont val="Arial"/>
      </rPr>
      <t>(a)</t>
    </r>
    <r>
      <rPr>
        <b/>
        <sz val="10"/>
        <rFont val="Arial"/>
      </rPr>
      <t>, for patients not subsequently admitted to this hospital</t>
    </r>
    <r>
      <rPr>
        <b/>
        <vertAlign val="superscript"/>
        <sz val="10"/>
        <rFont val="Arial"/>
      </rPr>
      <t>(b)</t>
    </r>
    <r>
      <rPr>
        <b/>
        <sz val="10"/>
        <rFont val="Arial"/>
      </rPr>
      <t>, by triage category, 2024–25</t>
    </r>
  </si>
  <si>
    <r>
      <rPr>
        <sz val="7"/>
        <color theme="1"/>
        <rFont val="Arial"/>
      </rPr>
      <t xml:space="preserve">(b)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</si>
  <si>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(d)     Records that were assigned an episode end status of </t>
    </r>
    <r>
      <rPr>
        <i/>
        <sz val="7"/>
        <color theme="1"/>
        <rFont val="Arial"/>
      </rPr>
      <t>Did not wait to be attended to by a health care professional, Dead on arrival, or Registered, advised of another health care service, and left the emergency department without being attended by a health care professional</t>
    </r>
    <r>
      <rPr>
        <sz val="7"/>
        <color theme="1"/>
        <rFont val="Arial"/>
      </rPr>
      <t xml:space="preserve"> were not assigned a duration of clinical care.						</t>
    </r>
  </si>
  <si>
    <r>
      <rPr>
        <sz val="7"/>
        <color theme="1"/>
        <rFont val="Arial"/>
      </rPr>
      <t>(e)     Total includes records for which the duration of clinical care could not be calculated.</t>
    </r>
  </si>
  <si>
    <r>
      <rPr>
        <b/>
        <sz val="10"/>
        <rFont val="Arial"/>
      </rPr>
      <t>Table A1: Public hospital emergency departments, states and territories</t>
    </r>
    <r>
      <rPr>
        <b/>
        <vertAlign val="superscript"/>
        <sz val="10"/>
        <rFont val="Arial"/>
      </rPr>
      <t>(a)</t>
    </r>
    <r>
      <rPr>
        <b/>
        <sz val="10"/>
        <rFont val="Arial"/>
      </rPr>
      <t>, 2020–21 to 2024–25</t>
    </r>
  </si>
  <si>
    <t>(a)     Interpretation of all changes over time presented in this report should take into account changes in coverage, as noted in Appendix A and the footnote below.</t>
  </si>
  <si>
    <t>(b)     The number of hospitals in Victoria include the Albury Campus Hospital.</t>
  </si>
  <si>
    <r>
      <rPr>
        <b/>
        <sz val="10"/>
        <rFont val="Arial"/>
      </rPr>
      <t>Table A2: Public hospital emergency departments, by public hospital peer group</t>
    </r>
    <r>
      <rPr>
        <b/>
        <vertAlign val="superscript"/>
        <sz val="10"/>
        <rFont val="Arial"/>
      </rPr>
      <t>(a)</t>
    </r>
    <r>
      <rPr>
        <b/>
        <sz val="10"/>
        <rFont val="Arial"/>
      </rPr>
      <t>, 2020–21 to 2024–25</t>
    </r>
  </si>
  <si>
    <t>(a)     Interpretation of all changes over time presented in this report should take into account changes in coverage, as noted in Appendix A.</t>
  </si>
  <si>
    <t>(a)     The number of hospitals in Victoria include the Albury Campus Hospital.</t>
  </si>
  <si>
    <r>
      <rPr>
        <b/>
        <sz val="10"/>
        <rFont val="Arial"/>
      </rPr>
      <t>Table A4: Proportion (%) of Emergency presentations</t>
    </r>
    <r>
      <rPr>
        <b/>
        <vertAlign val="superscript"/>
        <sz val="10"/>
        <rFont val="Arial"/>
      </rPr>
      <t>(a)</t>
    </r>
    <r>
      <rPr>
        <b/>
        <sz val="10"/>
        <rFont val="Arial"/>
      </rPr>
      <t>, by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</si>
  <si>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</si>
  <si>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(b)     Includes emergency presentations for which the triage category was not reported.</t>
    </r>
  </si>
  <si>
    <r>
      <rPr>
        <b/>
        <sz val="10"/>
        <rFont val="Arial"/>
      </rPr>
      <t>Table S3.1: Presentations per 1,000 population, by sex and age</t>
    </r>
    <r>
      <rPr>
        <b/>
        <vertAlign val="superscript"/>
        <sz val="10"/>
        <rFont val="Arial"/>
      </rPr>
      <t>(a)</t>
    </r>
    <r>
      <rPr>
        <b/>
        <sz val="10"/>
        <rFont val="Arial"/>
      </rPr>
      <t>, age-specific rates</t>
    </r>
    <r>
      <rPr>
        <b/>
        <vertAlign val="superscript"/>
        <sz val="10"/>
        <rFont val="Arial"/>
      </rPr>
      <t>(b)</t>
    </r>
    <r>
      <rPr>
        <b/>
        <sz val="10"/>
        <rFont val="Arial"/>
      </rPr>
      <t>, states and territories, 2024–25</t>
    </r>
  </si>
  <si>
    <t>85+</t>
  </si>
  <si>
    <t>(a)     Excludes presentations for which the age group or sex was not reported.</t>
  </si>
  <si>
    <t>(b)    Age-specific rates are calculated for individual age groups, using the number of presentations in that age group divided by the population of that age group.</t>
  </si>
  <si>
    <t>(c)    For Tasmania, the gender data item has been reported instead of sex.</t>
  </si>
  <si>
    <r>
      <rPr>
        <b/>
        <sz val="10"/>
        <rFont val="Arial"/>
      </rPr>
      <t>Table S3.2: Presentations per 1,000 population</t>
    </r>
    <r>
      <rPr>
        <b/>
        <vertAlign val="superscript"/>
        <sz val="10"/>
        <rFont val="Arial"/>
      </rPr>
      <t>(a)</t>
    </r>
    <r>
      <rPr>
        <b/>
        <sz val="10"/>
        <rFont val="Arial"/>
      </rPr>
      <t>, by Indigenous status and age, age-specific rates</t>
    </r>
    <r>
      <rPr>
        <b/>
        <vertAlign val="superscript"/>
        <sz val="10"/>
        <rFont val="Arial"/>
      </rPr>
      <t>(b)</t>
    </r>
    <r>
      <rPr>
        <b/>
        <sz val="10"/>
        <rFont val="Arial"/>
      </rPr>
      <t>, states and territories, 2024–25</t>
    </r>
  </si>
  <si>
    <t>5–9</t>
  </si>
  <si>
    <t>10–14</t>
  </si>
  <si>
    <t>15–19</t>
  </si>
  <si>
    <t>20–24</t>
  </si>
  <si>
    <t>25–29</t>
  </si>
  <si>
    <t>30–34</t>
  </si>
  <si>
    <t>35–39</t>
  </si>
  <si>
    <t>40–44</t>
  </si>
  <si>
    <t>45–49</t>
  </si>
  <si>
    <t>50–54</t>
  </si>
  <si>
    <t>55–59</t>
  </si>
  <si>
    <t>60–64</t>
  </si>
  <si>
    <t>65+</t>
  </si>
  <si>
    <t>(a)     Excludes presentations for which the age group was not reported.</t>
  </si>
  <si>
    <t>(b)     Age-specific rates are calculated for individual age groups, using the number of presentations in that age group divided by the population of that age group.</t>
  </si>
  <si>
    <t>(c)     Includes records for which the Indigenous status was not reported.</t>
  </si>
  <si>
    <r>
      <rPr>
        <b/>
        <sz val="10"/>
        <rFont val="Arial"/>
      </rPr>
      <t>Table S4.1: Emergency department presentations</t>
    </r>
    <r>
      <rPr>
        <b/>
        <vertAlign val="superscript"/>
        <sz val="10"/>
        <rFont val="Arial"/>
      </rPr>
      <t>(a)</t>
    </r>
    <r>
      <rPr>
        <b/>
        <sz val="10"/>
        <rFont val="Arial"/>
      </rPr>
      <t>, by emergency care category, states and territories, 2024–25</t>
    </r>
  </si>
  <si>
    <t>Emergency care category</t>
  </si>
  <si>
    <t>Pre-ECDG</t>
  </si>
  <si>
    <t>E01 	Nervous system and neurological</t>
  </si>
  <si>
    <t>E02 	Eye</t>
  </si>
  <si>
    <t>E03 	Ear, nose, mouth and throat</t>
  </si>
  <si>
    <t>E04 	Respiratory</t>
  </si>
  <si>
    <t>E05 	Circulatory</t>
  </si>
  <si>
    <t>E06 	Digestive</t>
  </si>
  <si>
    <t>E07 	Liver, gall bladder, bile duct and pancreas</t>
  </si>
  <si>
    <t>E08 	Musculoskeletal</t>
  </si>
  <si>
    <t>E09 	Skin, subcutaneous and breast tissue</t>
  </si>
  <si>
    <t>E10 	Endocrine, nutritional and metabolic</t>
  </si>
  <si>
    <t>E11 	Kidney and urinary tract</t>
  </si>
  <si>
    <t>E12 	Male genitourinary</t>
  </si>
  <si>
    <t>E13 	Gynaecology</t>
  </si>
  <si>
    <t>E14 	Obstetrics</t>
  </si>
  <si>
    <t>E15 	Perinatal</t>
  </si>
  <si>
    <t>E16 	Blood and immunology</t>
  </si>
  <si>
    <t>E17 	Neoplasms</t>
  </si>
  <si>
    <t>E18 	Infectious diseases</t>
  </si>
  <si>
    <t>E19 	Mental, behavioural and neurodevelopment</t>
  </si>
  <si>
    <t>E20 	Injuries and other externally-caused morbidity</t>
  </si>
  <si>
    <t>E50 	General symptoms without diagnosis</t>
  </si>
  <si>
    <t>E60 	Other factors influencing health status</t>
  </si>
  <si>
    <t>(a)     Presentations include all types of visit.</t>
  </si>
  <si>
    <t>(b)    Previously a customised shortlist of diagnosis codes has been utilised in Queensland in addition to the standard codeset for emergency presentations, resulting in standard codes not being available for around 30% of Qld presentations. From July 2022 the codeset has been limited to those Principal Diagnosis shortlist codes contained within tenth revision of the Emergency Department (ED) International Statistical Classification of Diseases and Related Health Problems, Australian Modification (ICD-10-AM), 12th edition Principal Diagnosis shortlist codes.</t>
  </si>
  <si>
    <r>
      <rPr>
        <b/>
        <sz val="10"/>
        <rFont val="Arial"/>
      </rPr>
      <t>Table S4.2: Emergency department presentations</t>
    </r>
    <r>
      <rPr>
        <b/>
        <vertAlign val="superscript"/>
        <sz val="10"/>
        <rFont val="Arial"/>
      </rPr>
      <t>(a)</t>
    </r>
    <r>
      <rPr>
        <b/>
        <sz val="10"/>
        <rFont val="Arial"/>
      </rPr>
      <t>, by complexity splits (AECC level 3) and triage category, 2024–25</t>
    </r>
  </si>
  <si>
    <t>Complexity splits</t>
  </si>
  <si>
    <t>Not attended by a healthcare professional</t>
  </si>
  <si>
    <t>Planned return visit</t>
  </si>
  <si>
    <t>Dementia and other chronic brain syndromes Complexity level A</t>
  </si>
  <si>
    <t>Dementia and other chronic brain syndromes Complexity level B</t>
  </si>
  <si>
    <t>Delirium Complexity level A</t>
  </si>
  <si>
    <t>Delirium Complexity level B</t>
  </si>
  <si>
    <t>Stroke and other cerebrovascular disorders Complexity level A</t>
  </si>
  <si>
    <t>Stroke and other cerebrovascular disorders Complexity level B</t>
  </si>
  <si>
    <t>TIA and precerebral occlusion</t>
  </si>
  <si>
    <t>Seizures Complexity level A</t>
  </si>
  <si>
    <t>Seizures Complexity level B</t>
  </si>
  <si>
    <t>Seizures Complexity level C</t>
  </si>
  <si>
    <t>Convulsions Complexity level A</t>
  </si>
  <si>
    <t>Convulsions Complexity level B</t>
  </si>
  <si>
    <t>Headaches Complexity level A</t>
  </si>
  <si>
    <t>Headaches Complexity level B</t>
  </si>
  <si>
    <t>Nervous system and neurological disorders Complexity level A</t>
  </si>
  <si>
    <t>Nervous system and neurological disorders Complexity level B</t>
  </si>
  <si>
    <t>Nervous system and neurological disorders Complexity level C</t>
  </si>
  <si>
    <t>Eye disorders Complexity level A</t>
  </si>
  <si>
    <t>Eye disorders Complexity level B</t>
  </si>
  <si>
    <t>Eye disorders Complexity level C</t>
  </si>
  <si>
    <t>Ear, nose, mouth and throat disorders Complexity level A</t>
  </si>
  <si>
    <t>Ear, nose, mouth and throat disorders Complexity level B</t>
  </si>
  <si>
    <t>Ear, nose, mouth and throat disorders Complexity level C</t>
  </si>
  <si>
    <t>Disorders of the teeth and supporting structures Complexity level A</t>
  </si>
  <si>
    <t>Disorders of the teeth and supporting structures Complexity level B</t>
  </si>
  <si>
    <t>Disorders of the teeth and supporting structures Complexity level C</t>
  </si>
  <si>
    <t>Major respiratory conditions Complexity level A</t>
  </si>
  <si>
    <t>Major respiratory conditions Complexity level B</t>
  </si>
  <si>
    <t>Major respiratory conditions Complexity level C</t>
  </si>
  <si>
    <t>Chronic obstructive airways disease Complexity level A</t>
  </si>
  <si>
    <t>Chronic obstructive airways disease Complexity level B</t>
  </si>
  <si>
    <t>Chronic obstructive airways disease Complexity level C</t>
  </si>
  <si>
    <t>Asthma Complexity level A</t>
  </si>
  <si>
    <t>Asthma Complexity level B</t>
  </si>
  <si>
    <t>Asthma Complexity level C</t>
  </si>
  <si>
    <t>Upper respiratory tract infections Complexity level A</t>
  </si>
  <si>
    <t>Upper respiratory tract infections Complexity level B</t>
  </si>
  <si>
    <t>Lower respiratory tract infections Complexity level A</t>
  </si>
  <si>
    <t>Lower respiratory tract infections Complexity level B</t>
  </si>
  <si>
    <t>Lower respiratory tract infections Complexity level C</t>
  </si>
  <si>
    <t>Respiratory disorders, other Complexity level A</t>
  </si>
  <si>
    <t>Respiratory disorders, other Complexity level B</t>
  </si>
  <si>
    <t>Respiratory disorders, other Complexity level C</t>
  </si>
  <si>
    <t>Respiratory disorders, other Complexity level D</t>
  </si>
  <si>
    <t>Acute coronary syndromes</t>
  </si>
  <si>
    <t>Arrhythmia and cardiac arrest Complexity level A</t>
  </si>
  <si>
    <t>Arrhythmia and cardiac arrest Complexity level B</t>
  </si>
  <si>
    <t>Heart failure and shock Complexity level A</t>
  </si>
  <si>
    <t>Heart failure and shock Complexity level B</t>
  </si>
  <si>
    <t>Chest pain Complexity level A</t>
  </si>
  <si>
    <t>Chest pain Complexity level B</t>
  </si>
  <si>
    <t>Chest pain Complexity level C</t>
  </si>
  <si>
    <t>Circulatory disorders, other Complexity level A</t>
  </si>
  <si>
    <t>Circulatory disorders, other Complexity level B</t>
  </si>
  <si>
    <t>Circulatory disorders, other Complexity level C</t>
  </si>
  <si>
    <t>Gastrointestinal haemorrhage Complexity level A</t>
  </si>
  <si>
    <t>Gastrointestinal haemorrhage Complexity level B</t>
  </si>
  <si>
    <t>Gastrointestinal obstruction</t>
  </si>
  <si>
    <t>Peritonitis and gastrointestinal perforation Complexity level A</t>
  </si>
  <si>
    <t>Peritonitis and gastrointestinal perforation Complexity level B</t>
  </si>
  <si>
    <t>Oesophagitis and gastroenteritis Complexity level A</t>
  </si>
  <si>
    <t>Oesophagitis and gastroenteritis Complexity level B</t>
  </si>
  <si>
    <t>Oesophagitis and gastroenteritis Complexity level C</t>
  </si>
  <si>
    <t>Abdominal pain Complexity level A</t>
  </si>
  <si>
    <t>Abdominal pain Complexity level B</t>
  </si>
  <si>
    <t>Abdominal pain Complexity level C</t>
  </si>
  <si>
    <t>Digestive system disorders, other Complexity level A</t>
  </si>
  <si>
    <t>Digestive system disorders, other Complexity level B</t>
  </si>
  <si>
    <t>Digestive system disorders, other Complexity level C</t>
  </si>
  <si>
    <t>Digestive system disorders, other Complexity level D</t>
  </si>
  <si>
    <t>Liver disorders Complexity level A</t>
  </si>
  <si>
    <t>Liver disorders Complexity level B</t>
  </si>
  <si>
    <t>Gall bladder, bile duct and pancreas disorders Complexity level A</t>
  </si>
  <si>
    <t>Gall bladder, bile duct and pancreas disorders Complexity level B</t>
  </si>
  <si>
    <t>Gall bladder, bile duct and pancreas disorders Complexity level C</t>
  </si>
  <si>
    <t>Musculoskeletal and musculotendinous disorders Complexity level A</t>
  </si>
  <si>
    <t>Musculoskeletal and musculotendinous disorders Complexity level B</t>
  </si>
  <si>
    <t>Musculoskeletal and musculotendinous disorders Complexity level C</t>
  </si>
  <si>
    <t>Musculoskeletal and musculotendinous disorders Complexity level D</t>
  </si>
  <si>
    <t>Skin and subcutaneous tissue infections Complexity level A</t>
  </si>
  <si>
    <t>Skin and subcutaneous tissue infections Complexity level B</t>
  </si>
  <si>
    <t>Skin and subcutaneous tissue infections Complexity level C</t>
  </si>
  <si>
    <t>Skin disorders, other Complexity level A</t>
  </si>
  <si>
    <t>Skin disorders, other Complexity level B</t>
  </si>
  <si>
    <t>Skin disorders, other Complexity level C</t>
  </si>
  <si>
    <t>Diabetes Complexity level A</t>
  </si>
  <si>
    <t>Diabetes Complexity level B</t>
  </si>
  <si>
    <t>Diabetes Complexity level C</t>
  </si>
  <si>
    <t>Metabolic and nutritional disorders, other Complexity level A</t>
  </si>
  <si>
    <t>Metabolic and nutritional disorders, other Complexity level B</t>
  </si>
  <si>
    <t>Metabolic and nutritional disorders, other Complexity level C</t>
  </si>
  <si>
    <t>Kidney failure Complexity level A</t>
  </si>
  <si>
    <t>Kidney failure Complexity level B</t>
  </si>
  <si>
    <t>Kidney failure Complexity level C</t>
  </si>
  <si>
    <t>Urinary stones and obstruction Complexity level A</t>
  </si>
  <si>
    <t>Urinary stones and obstruction Complexity level B</t>
  </si>
  <si>
    <t>Kidney and urinary tract infections Complexity level A</t>
  </si>
  <si>
    <t>Kidney and urinary tract infections Complexity level B</t>
  </si>
  <si>
    <t>Kidney and urinary tract infections Complexity level C</t>
  </si>
  <si>
    <t>Kidney and urinary tract disorders, other Complexity level A</t>
  </si>
  <si>
    <t>Kidney and urinary tract disorders, other Complexity level B</t>
  </si>
  <si>
    <t>Male genitourinary disorders Complexity level A</t>
  </si>
  <si>
    <t>Male genitourinary disorders Complexity level B</t>
  </si>
  <si>
    <t>Gynaecological disorders Complexity level A</t>
  </si>
  <si>
    <t>Gynaecological disorders Complexity level B</t>
  </si>
  <si>
    <t>Postpartum and post abortion conditions Complexity level A</t>
  </si>
  <si>
    <t>Postpartum and post abortion conditions Complexity level B</t>
  </si>
  <si>
    <t>Antenatal and other obstetric conditions Complexity level A</t>
  </si>
  <si>
    <t>Antenatal and other obstetric conditions Complexity level B</t>
  </si>
  <si>
    <t>Perinatal disorder</t>
  </si>
  <si>
    <t>Immune system disorders Complexity level A</t>
  </si>
  <si>
    <t>Immune system disorders Complexity level B</t>
  </si>
  <si>
    <t>Red blood cell disorders</t>
  </si>
  <si>
    <t>Haemostasis disorders Complexity level A</t>
  </si>
  <si>
    <t>Haemostasis disorders Complexity level B</t>
  </si>
  <si>
    <t>Neoplasms Complexity level A</t>
  </si>
  <si>
    <t>Neoplasms Complexity level B</t>
  </si>
  <si>
    <t>Neoplasms Complexity level C</t>
  </si>
  <si>
    <t>Septicaemia</t>
  </si>
  <si>
    <t>Viral illnesses Complexity level A</t>
  </si>
  <si>
    <t>Viral illnesses Complexity level B</t>
  </si>
  <si>
    <t>Viral illnesses Complexity level C</t>
  </si>
  <si>
    <t>Fever of unknown origin Complexity level A</t>
  </si>
  <si>
    <t>Fever of unknown origin Complexity level B</t>
  </si>
  <si>
    <t>Fever of unknown origin Complexity level C</t>
  </si>
  <si>
    <t>Infectious and parasitic diseases, other Complexity level A</t>
  </si>
  <si>
    <t>Infectious and parasitic diseases, other Complexity level B</t>
  </si>
  <si>
    <t>Alcohol and drug related mental and behavioural disorders Complexity level A</t>
  </si>
  <si>
    <t>Alcohol and drug related mental and behavioural disorders Complexity level B</t>
  </si>
  <si>
    <t>Alcohol and drug related mental and behavioural disorders Complexity level C</t>
  </si>
  <si>
    <t>Psychoses Complexity level A</t>
  </si>
  <si>
    <t>Psychoses Complexity level B</t>
  </si>
  <si>
    <t>Psychoses Complexity level C</t>
  </si>
  <si>
    <t>Mental, behavioural and neurodevelopment disorders, other Complexity level A</t>
  </si>
  <si>
    <t>Mental, behavioural and neurodevelopment disorders, other Complexity level B</t>
  </si>
  <si>
    <t>Mental, behavioural and neurodevelopment disorders, other Complexity level C</t>
  </si>
  <si>
    <t>Head, intracranial, spine, internal organ and other complex injuries Complexity level A</t>
  </si>
  <si>
    <t>Head, intracranial, spine, internal organ and other complex injuries Complexity level B</t>
  </si>
  <si>
    <t>Head, intracranial, spine, internal organ and other complex injuries Complexity level C</t>
  </si>
  <si>
    <t>Head, intracranial, spine, internal organ and other complex injuries Complexity level D</t>
  </si>
  <si>
    <t>Pelvic and femoral fractures Complexity level A</t>
  </si>
  <si>
    <t>Pelvic and femoral fractures Complexity level B</t>
  </si>
  <si>
    <t>Fractures, dislocations and ligament injuries Complexity level A</t>
  </si>
  <si>
    <t>Fractures, dislocations and ligament injuries Complexity level B</t>
  </si>
  <si>
    <t>Fractures, dislocations and ligament injuries Complexity level C</t>
  </si>
  <si>
    <t>Injuries, other Complexity level A</t>
  </si>
  <si>
    <t>Injuries, other Complexity level B</t>
  </si>
  <si>
    <t>Injuries, other Complexity level C</t>
  </si>
  <si>
    <t>Injuries, other Complexity level D</t>
  </si>
  <si>
    <t>Finger, toe and superficial injuries Complexity level A</t>
  </si>
  <si>
    <t>Finger, toe and superficial injuries Complexity level B</t>
  </si>
  <si>
    <t>Finger, toe and superficial injuries Complexity level C</t>
  </si>
  <si>
    <t>Burns Complexity level A</t>
  </si>
  <si>
    <t>Burns Complexity level B</t>
  </si>
  <si>
    <t>Burns Complexity level C</t>
  </si>
  <si>
    <t>Poisoning Complexity level A</t>
  </si>
  <si>
    <t>Poisoning Complexity level B</t>
  </si>
  <si>
    <t>Poisoning Complexity level C</t>
  </si>
  <si>
    <t>Allergic reactions Complexity level A</t>
  </si>
  <si>
    <t>Allergic reactions Complexity level B</t>
  </si>
  <si>
    <t>Complications of surgical and medical care Complexity level A</t>
  </si>
  <si>
    <t>Complications of surgical and medical care Complexity level B</t>
  </si>
  <si>
    <t>Pain syndrome Complexity level A</t>
  </si>
  <si>
    <t>Pain syndrome Complexity level B</t>
  </si>
  <si>
    <t>Symptoms, other Complexity level A</t>
  </si>
  <si>
    <t>Symptoms, other Complexity level B</t>
  </si>
  <si>
    <t>Symptoms, other Complexity level C</t>
  </si>
  <si>
    <t>Forensic examination Complexity level A</t>
  </si>
  <si>
    <t>Forensic examination Complexity level B</t>
  </si>
  <si>
    <t>Forensic examination Complexity level C</t>
  </si>
  <si>
    <t>Abuse and neglect Complexity level A</t>
  </si>
  <si>
    <t>Abuse and neglect Complexity level B</t>
  </si>
  <si>
    <t>Other factors influencing health status Complexity level A</t>
  </si>
  <si>
    <t>Other factors influencing health status Complexity level B</t>
  </si>
  <si>
    <t>Invalid visit type</t>
  </si>
  <si>
    <t>Missing principal ED diagnosis short list code</t>
  </si>
  <si>
    <t>Invalid principal ED diagnosis short list code</t>
  </si>
  <si>
    <t>Other error</t>
  </si>
  <si>
    <t>(b)    The total includes records for which the triage category was not reported.</t>
  </si>
  <si>
    <r>
      <rPr>
        <b/>
        <sz val="10"/>
        <rFont val="Arial"/>
      </rPr>
      <t>Table S4.3: Emergency department presentations</t>
    </r>
    <r>
      <rPr>
        <b/>
        <vertAlign val="superscript"/>
        <sz val="10"/>
        <rFont val="Arial"/>
      </rPr>
      <t>(a)</t>
    </r>
    <r>
      <rPr>
        <b/>
        <sz val="10"/>
        <rFont val="Arial"/>
      </rPr>
      <t>, by complexity splits (AECC level 3) and admission status, 2024–25</t>
    </r>
  </si>
  <si>
    <t>Proportions</t>
  </si>
  <si>
    <t>Hour of presentation</t>
  </si>
  <si>
    <t>00:00 to 00:59</t>
  </si>
  <si>
    <t>01:00 to 01:59</t>
  </si>
  <si>
    <t>02:00 to 02:59</t>
  </si>
  <si>
    <t>03:00 to 03:59</t>
  </si>
  <si>
    <t>04:00 to 04:59</t>
  </si>
  <si>
    <t>05:00 to 05:59</t>
  </si>
  <si>
    <t>06:00 to 06:59</t>
  </si>
  <si>
    <t>07:00 to 07:59</t>
  </si>
  <si>
    <t>08:00 to 08:59</t>
  </si>
  <si>
    <t>09:00 to 09:59</t>
  </si>
  <si>
    <t>10:00 to 10:59</t>
  </si>
  <si>
    <t>11:00 to 11:59</t>
  </si>
  <si>
    <t>12:00 to 12:59</t>
  </si>
  <si>
    <t>13:00 to 13:59</t>
  </si>
  <si>
    <t>14:00 to 14:59</t>
  </si>
  <si>
    <t>15:00 to 15:59</t>
  </si>
  <si>
    <t>16:00 to 16:59</t>
  </si>
  <si>
    <t>17:00 to 17:59</t>
  </si>
  <si>
    <t>18:00 to 18:59</t>
  </si>
  <si>
    <t>19:00 to 19:59</t>
  </si>
  <si>
    <t>20:00 to 20:59</t>
  </si>
  <si>
    <t>21:00 to 21:59</t>
  </si>
  <si>
    <t>22:00 to 22:59</t>
  </si>
  <si>
    <t>23:00 to 23:59</t>
  </si>
  <si>
    <t>(a)    Includes records for which triage category was unknown.</t>
  </si>
  <si>
    <t>(b)    Excludes records with an invalid presentation time.</t>
  </si>
  <si>
    <r>
      <rPr>
        <b/>
        <sz val="10"/>
        <rFont val="Arial"/>
      </rPr>
      <t>Table S5.1: Emergency department presentation</t>
    </r>
    <r>
      <rPr>
        <b/>
        <vertAlign val="superscript"/>
        <sz val="10"/>
        <rFont val="Arial"/>
      </rPr>
      <t>(a)</t>
    </r>
    <r>
      <rPr>
        <b/>
        <sz val="10"/>
        <rFont val="Arial"/>
      </rPr>
      <t xml:space="preserve"> statistics, by public hospital peer group and triage category, states and territories, 2024–25</t>
    </r>
  </si>
  <si>
    <t>Median waiting time to commencement of clinical care (minutes)</t>
  </si>
  <si>
    <t>90th percentile waiting time to commencement of clinical care (minutes)</t>
  </si>
  <si>
    <r>
      <rPr>
        <sz val="7"/>
        <color theme="1"/>
        <rFont val="Arial"/>
      </rPr>
      <t>(b)    The totals include emergency presentations for which the triage category was not reported.</t>
    </r>
  </si>
  <si>
    <r>
      <rPr>
        <b/>
        <sz val="10"/>
        <rFont val="Arial"/>
      </rPr>
      <t>Table S5.2: Proportion (%) of Emergency presentations</t>
    </r>
    <r>
      <rPr>
        <b/>
        <vertAlign val="superscript"/>
        <sz val="10"/>
        <rFont val="Arial"/>
      </rPr>
      <t>(a)</t>
    </r>
    <r>
      <rPr>
        <b/>
        <vertAlign val="superscript"/>
        <sz val="10"/>
        <rFont val="Arial"/>
      </rPr>
      <t>(b)</t>
    </r>
    <r>
      <rPr>
        <b/>
        <sz val="10"/>
        <rFont val="Arial"/>
      </rPr>
      <t xml:space="preserve"> seen on time, by triage category and remoteness area of usual residence, states and territories, 2024–25</t>
    </r>
  </si>
  <si>
    <r>
      <rPr>
        <sz val="7"/>
        <color theme="1"/>
        <rFont val="Arial"/>
      </rPr>
      <t xml:space="preserve">(b)     Records were excluded from the calculation of waiting time if the patient </t>
    </r>
    <r>
      <rPr>
        <i/>
        <sz val="7"/>
        <color theme="1"/>
        <rFont val="Arial"/>
      </rPr>
      <t>Did not wait to be attended to by a health care professional</t>
    </r>
    <r>
      <rPr>
        <sz val="7"/>
        <color theme="1"/>
        <rFont val="Arial"/>
      </rPr>
      <t xml:space="preserve">, was </t>
    </r>
    <r>
      <rPr>
        <i/>
        <sz val="7"/>
        <color theme="1"/>
        <rFont val="Arial"/>
      </rPr>
      <t>Dead on arrival</t>
    </r>
    <r>
      <rPr>
        <sz val="7"/>
        <color theme="1"/>
        <rFont val="Arial"/>
      </rPr>
      <t xml:space="preserve">, was </t>
    </r>
    <r>
      <rPr>
        <i/>
        <sz val="7"/>
        <color theme="1"/>
        <rFont val="Arial"/>
      </rPr>
      <t>Registered, advised of another health care service, and left the emergency department without being attended to by a health care professional</t>
    </r>
    <r>
      <rPr>
        <sz val="7"/>
        <color theme="1"/>
        <rFont val="Arial"/>
      </rPr>
      <t>, or if the waiting time could not be calculated, or the triage category was unknown.</t>
    </r>
  </si>
  <si>
    <r>
      <rPr>
        <sz val="7"/>
        <color theme="1"/>
        <rFont val="Arial"/>
      </rPr>
      <t xml:space="preserve">(c)     Includes presentations for which the remoteness area was </t>
    </r>
    <r>
      <rPr>
        <i/>
        <sz val="7"/>
        <color theme="1"/>
        <rFont val="Arial"/>
      </rPr>
      <t>Migratory - off-shore - shipping, outside Australia</t>
    </r>
    <r>
      <rPr>
        <sz val="7"/>
        <color theme="1"/>
        <rFont val="Arial"/>
      </rPr>
      <t xml:space="preserve"> or unknown.</t>
    </r>
  </si>
  <si>
    <r>
      <rPr>
        <b/>
        <sz val="10"/>
        <rFont val="Arial"/>
      </rPr>
      <t>Table S5.3: Proportion (%) of Emergency presentations</t>
    </r>
    <r>
      <rPr>
        <b/>
        <vertAlign val="superscript"/>
        <sz val="10"/>
        <rFont val="Arial"/>
      </rPr>
      <t>(a)</t>
    </r>
    <r>
      <rPr>
        <b/>
        <vertAlign val="superscript"/>
        <sz val="10"/>
        <rFont val="Arial"/>
      </rPr>
      <t>(b)</t>
    </r>
    <r>
      <rPr>
        <b/>
        <sz val="10"/>
        <rFont val="Arial"/>
      </rPr>
      <t xml:space="preserve"> seen on time, by triage category and socioeconomic area of usual residence, states and territories, 2024–25</t>
    </r>
  </si>
  <si>
    <t>Socio-economic indexes for areas</t>
  </si>
  <si>
    <r>
      <rPr>
        <b/>
        <sz val="10"/>
        <rFont val="Arial"/>
      </rPr>
      <t>Table S6.1: Emergency department presentations</t>
    </r>
    <r>
      <rPr>
        <b/>
        <vertAlign val="superscript"/>
        <sz val="10"/>
        <rFont val="Arial"/>
      </rPr>
      <t>(a)</t>
    </r>
    <r>
      <rPr>
        <b/>
        <sz val="10"/>
        <rFont val="Arial"/>
      </rPr>
      <t xml:space="preserve"> median length of emergency department stay</t>
    </r>
    <r>
      <rPr>
        <b/>
        <vertAlign val="superscript"/>
        <sz val="10"/>
        <rFont val="Arial"/>
      </rPr>
      <t>(b)</t>
    </r>
    <r>
      <rPr>
        <b/>
        <sz val="10"/>
        <rFont val="Arial"/>
      </rPr>
      <t xml:space="preserve"> (hours: minutes), by admission status, states and territories, 2020–21 to 2024–25</t>
    </r>
  </si>
  <si>
    <t xml:space="preserve"> 5:24</t>
  </si>
  <si>
    <t xml:space="preserve"> 6:59</t>
  </si>
  <si>
    <t xml:space="preserve"> 4:32</t>
  </si>
  <si>
    <t xml:space="preserve"> 5:25</t>
  </si>
  <si>
    <t xml:space="preserve"> 5:31</t>
  </si>
  <si>
    <t xml:space="preserve"> 4:08</t>
  </si>
  <si>
    <t xml:space="preserve"> 5:40</t>
  </si>
  <si>
    <t xml:space="preserve"> 6:01</t>
  </si>
  <si>
    <t xml:space="preserve"> 4:39</t>
  </si>
  <si>
    <t xml:space="preserve"> 5:22</t>
  </si>
  <si>
    <t xml:space="preserve"> 5:58</t>
  </si>
  <si>
    <t xml:space="preserve"> 6:45</t>
  </si>
  <si>
    <t xml:space="preserve"> 5:02</t>
  </si>
  <si>
    <t xml:space="preserve"> 6:17</t>
  </si>
  <si>
    <t xml:space="preserve"> 6:55</t>
  </si>
  <si>
    <t xml:space="preserve"> 6:57</t>
  </si>
  <si>
    <t xml:space="preserve"> 7:39</t>
  </si>
  <si>
    <t xml:space="preserve"> 7:49</t>
  </si>
  <si>
    <t xml:space="preserve"> 5:01</t>
  </si>
  <si>
    <t xml:space="preserve"> 5:30</t>
  </si>
  <si>
    <t xml:space="preserve"> 5:27</t>
  </si>
  <si>
    <t xml:space="preserve"> 4:27</t>
  </si>
  <si>
    <t xml:space="preserve"> 4:05</t>
  </si>
  <si>
    <t xml:space="preserve"> 5:45</t>
  </si>
  <si>
    <t xml:space="preserve"> 6:07</t>
  </si>
  <si>
    <t xml:space="preserve"> 4:46</t>
  </si>
  <si>
    <t xml:space="preserve"> 5:32</t>
  </si>
  <si>
    <t xml:space="preserve"> 6:04</t>
  </si>
  <si>
    <t xml:space="preserve"> 6:13</t>
  </si>
  <si>
    <t xml:space="preserve"> 2:18</t>
  </si>
  <si>
    <t xml:space="preserve"> 2:30</t>
  </si>
  <si>
    <t xml:space="preserve"> 2:49</t>
  </si>
  <si>
    <t xml:space="preserve"> 2:52</t>
  </si>
  <si>
    <t xml:space="preserve"> 2:55</t>
  </si>
  <si>
    <t xml:space="preserve"> 2:48</t>
  </si>
  <si>
    <t xml:space="preserve"> 3:09</t>
  </si>
  <si>
    <t xml:space="preserve"> 3:18</t>
  </si>
  <si>
    <t xml:space="preserve"> 3:14</t>
  </si>
  <si>
    <t xml:space="preserve"> 2:19</t>
  </si>
  <si>
    <t xml:space="preserve"> 2:45</t>
  </si>
  <si>
    <t xml:space="preserve"> 3:16</t>
  </si>
  <si>
    <t xml:space="preserve"> 3:21</t>
  </si>
  <si>
    <t xml:space="preserve"> 3:27</t>
  </si>
  <si>
    <t xml:space="preserve"> 2:25</t>
  </si>
  <si>
    <t xml:space="preserve"> 2:42</t>
  </si>
  <si>
    <t xml:space="preserve"> 2:51</t>
  </si>
  <si>
    <t xml:space="preserve"> 2:54</t>
  </si>
  <si>
    <t xml:space="preserve"> 3:10</t>
  </si>
  <si>
    <t xml:space="preserve"> 3:05</t>
  </si>
  <si>
    <t xml:space="preserve"> 3:22</t>
  </si>
  <si>
    <t xml:space="preserve"> 3:26</t>
  </si>
  <si>
    <t xml:space="preserve"> 2:47</t>
  </si>
  <si>
    <t xml:space="preserve"> 2:58</t>
  </si>
  <si>
    <t xml:space="preserve"> 3:08</t>
  </si>
  <si>
    <t xml:space="preserve"> 3:20</t>
  </si>
  <si>
    <t xml:space="preserve"> 3:36</t>
  </si>
  <si>
    <t xml:space="preserve"> 3:12</t>
  </si>
  <si>
    <t xml:space="preserve"> 3:01</t>
  </si>
  <si>
    <t xml:space="preserve"> 2:22</t>
  </si>
  <si>
    <t xml:space="preserve"> 2:41</t>
  </si>
  <si>
    <t xml:space="preserve"> 2:50</t>
  </si>
  <si>
    <t xml:space="preserve"> 2:57</t>
  </si>
  <si>
    <t xml:space="preserve"> 3:03</t>
  </si>
  <si>
    <t xml:space="preserve"> 2:28</t>
  </si>
  <si>
    <t xml:space="preserve"> 2:46</t>
  </si>
  <si>
    <t xml:space="preserve"> 3:04</t>
  </si>
  <si>
    <t xml:space="preserve"> 3:30</t>
  </si>
  <si>
    <t xml:space="preserve"> 3:34</t>
  </si>
  <si>
    <t xml:space="preserve"> 3:43</t>
  </si>
  <si>
    <t xml:space="preserve"> 3:54</t>
  </si>
  <si>
    <t xml:space="preserve"> 3:51</t>
  </si>
  <si>
    <t xml:space="preserve"> 3:52</t>
  </si>
  <si>
    <t xml:space="preserve"> 3:48</t>
  </si>
  <si>
    <t xml:space="preserve"> 3:55</t>
  </si>
  <si>
    <t xml:space="preserve"> 4:01</t>
  </si>
  <si>
    <t xml:space="preserve"> 3:11</t>
  </si>
  <si>
    <t xml:space="preserve"> 3:23</t>
  </si>
  <si>
    <t xml:space="preserve"> 3:45</t>
  </si>
  <si>
    <t xml:space="preserve"> 3:19</t>
  </si>
  <si>
    <t xml:space="preserve"> 3:57</t>
  </si>
  <si>
    <t xml:space="preserve"> 4:03</t>
  </si>
  <si>
    <t xml:space="preserve"> 3:38</t>
  </si>
  <si>
    <t xml:space="preserve"> 3:58</t>
  </si>
  <si>
    <t xml:space="preserve"> 4:13</t>
  </si>
  <si>
    <t xml:space="preserve"> 3:37</t>
  </si>
  <si>
    <t xml:space="preserve"> 4:09</t>
  </si>
  <si>
    <t xml:space="preserve"> 3:39</t>
  </si>
  <si>
    <t xml:space="preserve"> 3:28</t>
  </si>
  <si>
    <t xml:space="preserve"> 3:02</t>
  </si>
  <si>
    <t xml:space="preserve"> 3:17</t>
  </si>
  <si>
    <t xml:space="preserve"> 3:44</t>
  </si>
  <si>
    <t xml:space="preserve"> 3:42</t>
  </si>
  <si>
    <t>(b)     Length of stay is calculated as the length of time between presentation to the emergency department and physical departure.</t>
  </si>
  <si>
    <r>
      <rPr>
        <b/>
        <sz val="10"/>
        <rFont val="Arial"/>
      </rPr>
      <t>Table S6.2: Emergency department presentations</t>
    </r>
    <r>
      <rPr>
        <b/>
        <vertAlign val="superscript"/>
        <sz val="10"/>
        <rFont val="Arial"/>
      </rPr>
      <t>(a)</t>
    </r>
    <r>
      <rPr>
        <b/>
        <sz val="10"/>
        <rFont val="Arial"/>
      </rPr>
      <t xml:space="preserve"> median length of stay</t>
    </r>
    <r>
      <rPr>
        <b/>
        <vertAlign val="superscript"/>
        <sz val="10"/>
        <rFont val="Arial"/>
      </rPr>
      <t>(b)</t>
    </r>
    <r>
      <rPr>
        <b/>
        <sz val="10"/>
        <rFont val="Arial"/>
      </rPr>
      <t xml:space="preserve"> (hours: minutes), by triage category and admission status, states and territories, 2024–25</t>
    </r>
  </si>
  <si>
    <t xml:space="preserve"> 5:39</t>
  </si>
  <si>
    <t xml:space="preserve"> 4:30</t>
  </si>
  <si>
    <t xml:space="preserve"> 4:48</t>
  </si>
  <si>
    <t xml:space="preserve"> 4:50</t>
  </si>
  <si>
    <t xml:space="preserve"> 4:20</t>
  </si>
  <si>
    <t xml:space="preserve"> 5:00</t>
  </si>
  <si>
    <t xml:space="preserve"> 6:52</t>
  </si>
  <si>
    <t xml:space="preserve"> 5:56</t>
  </si>
  <si>
    <t xml:space="preserve"> 7:15</t>
  </si>
  <si>
    <t xml:space="preserve"> 3:49</t>
  </si>
  <si>
    <t xml:space="preserve"> 5:48</t>
  </si>
  <si>
    <t xml:space="preserve"> 6:11</t>
  </si>
  <si>
    <t xml:space="preserve"> 7:24</t>
  </si>
  <si>
    <t xml:space="preserve"> 8:40</t>
  </si>
  <si>
    <t xml:space="preserve"> 4:17</t>
  </si>
  <si>
    <t xml:space="preserve"> 6:12</t>
  </si>
  <si>
    <t xml:space="preserve"> 6:35</t>
  </si>
  <si>
    <t xml:space="preserve"> 4:56</t>
  </si>
  <si>
    <t xml:space="preserve"> 5:38</t>
  </si>
  <si>
    <t xml:space="preserve"> 6:53</t>
  </si>
  <si>
    <t xml:space="preserve"> 5:49</t>
  </si>
  <si>
    <t xml:space="preserve"> 4:07</t>
  </si>
  <si>
    <t xml:space="preserve"> 4:16</t>
  </si>
  <si>
    <t xml:space="preserve"> 5:13</t>
  </si>
  <si>
    <t xml:space="preserve"> 4:28</t>
  </si>
  <si>
    <t xml:space="preserve"> 5:07</t>
  </si>
  <si>
    <t xml:space="preserve"> 4:42</t>
  </si>
  <si>
    <t xml:space="preserve"> 4:44</t>
  </si>
  <si>
    <t xml:space="preserve"> 4:29</t>
  </si>
  <si>
    <t xml:space="preserve"> 4:55</t>
  </si>
  <si>
    <t xml:space="preserve"> 4:00</t>
  </si>
  <si>
    <t xml:space="preserve"> 4:04</t>
  </si>
  <si>
    <t xml:space="preserve"> 4:10</t>
  </si>
  <si>
    <t xml:space="preserve"> 3:50</t>
  </si>
  <si>
    <t xml:space="preserve"> 4:12</t>
  </si>
  <si>
    <t xml:space="preserve"> 3:56</t>
  </si>
  <si>
    <t xml:space="preserve"> 4:02</t>
  </si>
  <si>
    <t xml:space="preserve"> 3:35</t>
  </si>
  <si>
    <t xml:space="preserve"> 3:53</t>
  </si>
  <si>
    <t xml:space="preserve"> 3:32</t>
  </si>
  <si>
    <t xml:space="preserve"> 2:53</t>
  </si>
  <si>
    <t xml:space="preserve"> 2:43</t>
  </si>
  <si>
    <t xml:space="preserve"> 1:22</t>
  </si>
  <si>
    <t xml:space="preserve"> 1:54</t>
  </si>
  <si>
    <t xml:space="preserve"> 1:57</t>
  </si>
  <si>
    <t xml:space="preserve"> 1:49</t>
  </si>
  <si>
    <t xml:space="preserve"> 1:50</t>
  </si>
  <si>
    <t xml:space="preserve"> 2:06</t>
  </si>
  <si>
    <t xml:space="preserve"> 2:02</t>
  </si>
  <si>
    <t xml:space="preserve"> 1:52</t>
  </si>
  <si>
    <t xml:space="preserve"> 1:39</t>
  </si>
  <si>
    <t xml:space="preserve"> 4:53</t>
  </si>
  <si>
    <t xml:space="preserve"> 4:47</t>
  </si>
  <si>
    <t xml:space="preserve"> 4:51</t>
  </si>
  <si>
    <t xml:space="preserve"> 4:37</t>
  </si>
  <si>
    <t xml:space="preserve"> 4:23</t>
  </si>
  <si>
    <t xml:space="preserve"> 4:24</t>
  </si>
  <si>
    <t xml:space="preserve"> 4:31</t>
  </si>
  <si>
    <t xml:space="preserve"> 4:35</t>
  </si>
  <si>
    <t xml:space="preserve"> 4:54</t>
  </si>
  <si>
    <t xml:space="preserve"> 3:07</t>
  </si>
  <si>
    <t xml:space="preserve"> 3:13</t>
  </si>
  <si>
    <t xml:space="preserve"> 3:00</t>
  </si>
  <si>
    <t xml:space="preserve"> 1:26</t>
  </si>
  <si>
    <t xml:space="preserve"> 1:58</t>
  </si>
  <si>
    <t xml:space="preserve"> 2:11</t>
  </si>
  <si>
    <t xml:space="preserve"> 2:10</t>
  </si>
  <si>
    <t xml:space="preserve"> 2:00</t>
  </si>
  <si>
    <t xml:space="preserve"> 1:43</t>
  </si>
  <si>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t>
    </r>
  </si>
  <si>
    <r>
      <rPr>
        <sz val="7"/>
        <color theme="1"/>
        <rFont val="Arial"/>
      </rPr>
      <t xml:space="preserve">(e)     The total includes presentations for which the triage category was not reported.		</t>
    </r>
  </si>
  <si>
    <t>Length of stay</t>
  </si>
  <si>
    <t>4 hours or less</t>
  </si>
  <si>
    <t>Subsequently admitted</t>
  </si>
  <si>
    <t>Not subsequently admitted</t>
  </si>
  <si>
    <t>6 hours or less</t>
  </si>
  <si>
    <t>8 hours or less</t>
  </si>
  <si>
    <t>12 hours or less</t>
  </si>
  <si>
    <r>
      <rPr>
        <sz val="7"/>
        <rFont val="Arial"/>
      </rPr>
      <t xml:space="preserve">(a)    Subsequently admitted is where the episode end status is </t>
    </r>
    <r>
      <rPr>
        <i/>
        <sz val="7"/>
        <color theme="1"/>
        <rFont val="Arial"/>
      </rPr>
      <t xml:space="preserve">Transferred for admitted patient care in this hospital (either short stay unit, hospital-in-the-home or other admitted patient care unit) </t>
    </r>
    <r>
      <rPr>
        <sz val="7"/>
        <color theme="1"/>
        <rFont val="Arial"/>
      </rPr>
      <t xml:space="preserve">or </t>
    </r>
    <r>
      <rPr>
        <i/>
        <sz val="7"/>
        <color theme="1"/>
        <rFont val="Arial"/>
      </rPr>
      <t>Non-admitted patient emergency department service episode completed - referred to another hospital for admission.</t>
    </r>
    <r>
      <rPr>
        <sz val="7"/>
        <color theme="1"/>
        <rFont val="Arial"/>
      </rPr>
      <t xml:space="preserve"> </t>
    </r>
  </si>
  <si>
    <r>
      <rPr>
        <sz val="7"/>
        <color theme="1"/>
        <rFont val="Arial"/>
      </rPr>
      <t xml:space="preserve">(b)    Not admitted is where the episode end status is any value other than </t>
    </r>
    <r>
      <rPr>
        <i/>
        <sz val="7"/>
        <color theme="1"/>
        <rFont val="Arial"/>
      </rPr>
      <t xml:space="preserve">Transferred for admitted patient care in this hospital (either short stay unit, hospital-in-the-home or other admitted patient care unit) </t>
    </r>
    <r>
      <rPr>
        <sz val="7"/>
        <color theme="1"/>
        <rFont val="Arial"/>
      </rPr>
      <t>or</t>
    </r>
    <r>
      <rPr>
        <i/>
        <sz val="7"/>
        <color theme="1"/>
        <rFont val="Arial"/>
      </rPr>
      <t xml:space="preserve"> Non-admitted patient emergency department service episode completed - referred to another hospital for admission</t>
    </r>
    <r>
      <rPr>
        <sz val="7"/>
        <color theme="1"/>
        <rFont val="Arial"/>
      </rPr>
      <t>.</t>
    </r>
  </si>
  <si>
    <r>
      <t>Total</t>
    </r>
    <r>
      <rPr>
        <b/>
        <vertAlign val="superscript"/>
        <sz val="8"/>
        <rFont val="Arial"/>
        <family val="2"/>
      </rPr>
      <t>(b)</t>
    </r>
  </si>
  <si>
    <r>
      <t>Presentation rate ratio</t>
    </r>
    <r>
      <rPr>
        <b/>
        <vertAlign val="superscript"/>
        <sz val="8"/>
        <color rgb="FF000000"/>
        <rFont val="Arial"/>
        <family val="2"/>
      </rPr>
      <t>(d)</t>
    </r>
  </si>
  <si>
    <r>
      <t>(d)</t>
    </r>
    <r>
      <rPr>
        <sz val="7"/>
        <color indexed="8"/>
        <rFont val="Times New Roman"/>
        <family val="1"/>
      </rPr>
      <t xml:space="preserve">     </t>
    </r>
    <r>
      <rPr>
        <sz val="7"/>
        <color indexed="8"/>
        <rFont val="Arial"/>
        <family val="2"/>
      </rPr>
      <t>The presentation rate ratio is equal to the presentation rate for the remoteness area divided by the presentation rate for Australia.</t>
    </r>
  </si>
  <si>
    <t>. .</t>
  </si>
  <si>
    <r>
      <t>Tas</t>
    </r>
    <r>
      <rPr>
        <b/>
        <vertAlign val="superscript"/>
        <sz val="8"/>
        <rFont val="Arial"/>
        <family val="2"/>
      </rPr>
      <t>(a)</t>
    </r>
  </si>
  <si>
    <r>
      <t>Total</t>
    </r>
    <r>
      <rPr>
        <vertAlign val="superscript"/>
        <sz val="8"/>
        <rFont val="Arial"/>
        <family val="2"/>
      </rPr>
      <t>(b)</t>
    </r>
  </si>
  <si>
    <r>
      <t>Total</t>
    </r>
    <r>
      <rPr>
        <b/>
        <vertAlign val="superscript"/>
        <sz val="8"/>
        <rFont val="Arial"/>
        <family val="2"/>
      </rPr>
      <t>(c)</t>
    </r>
  </si>
  <si>
    <r>
      <t>Presentation rate ratio</t>
    </r>
    <r>
      <rPr>
        <b/>
        <vertAlign val="superscript"/>
        <sz val="8"/>
        <color rgb="FF000000"/>
        <rFont val="Arial"/>
        <family val="2"/>
      </rPr>
      <t>(c)</t>
    </r>
  </si>
  <si>
    <r>
      <t>Age-standardised rate per 1,000 population</t>
    </r>
    <r>
      <rPr>
        <b/>
        <vertAlign val="superscript"/>
        <sz val="8"/>
        <rFont val="Arial"/>
        <family val="2"/>
      </rPr>
      <t>(b)</t>
    </r>
  </si>
  <si>
    <r>
      <t>Other Australians</t>
    </r>
    <r>
      <rPr>
        <i/>
        <vertAlign val="superscript"/>
        <sz val="8"/>
        <rFont val="Arial"/>
        <family val="2"/>
      </rPr>
      <t>(a)</t>
    </r>
  </si>
  <si>
    <r>
      <t>Total</t>
    </r>
    <r>
      <rPr>
        <b/>
        <vertAlign val="superscript"/>
        <sz val="8"/>
        <rFont val="Arial"/>
        <family val="2"/>
      </rPr>
      <t>(a)</t>
    </r>
  </si>
  <si>
    <r>
      <t>Age-standardised rate per 1,000 population</t>
    </r>
    <r>
      <rPr>
        <vertAlign val="superscript"/>
        <sz val="8"/>
        <rFont val="Arial"/>
        <family val="2"/>
      </rPr>
      <t>(c)</t>
    </r>
  </si>
  <si>
    <r>
      <t>Age-standardised rate per 1,000 population</t>
    </r>
    <r>
      <rPr>
        <b/>
        <vertAlign val="superscript"/>
        <sz val="8"/>
        <rFont val="Arial"/>
        <family val="2"/>
      </rPr>
      <t>(c)</t>
    </r>
  </si>
  <si>
    <r>
      <t>WA</t>
    </r>
    <r>
      <rPr>
        <b/>
        <vertAlign val="superscript"/>
        <sz val="8"/>
        <rFont val="Arial"/>
        <family val="2"/>
      </rPr>
      <t>(a)</t>
    </r>
  </si>
  <si>
    <r>
      <t>SA</t>
    </r>
    <r>
      <rPr>
        <b/>
        <vertAlign val="superscript"/>
        <sz val="8"/>
        <rFont val="Arial"/>
        <family val="2"/>
      </rPr>
      <t>(b)</t>
    </r>
  </si>
  <si>
    <r>
      <t>Other</t>
    </r>
    <r>
      <rPr>
        <vertAlign val="superscript"/>
        <sz val="8"/>
        <rFont val="Arial"/>
        <family val="2"/>
      </rPr>
      <t>(a)</t>
    </r>
  </si>
  <si>
    <r>
      <t>Total</t>
    </r>
    <r>
      <rPr>
        <b/>
        <vertAlign val="superscript"/>
        <sz val="8"/>
        <rFont val="Arial"/>
        <family val="2"/>
      </rPr>
      <t>(b)(c)</t>
    </r>
  </si>
  <si>
    <r>
      <t>Table 4.4: Proportion (%) of Emergency presentations, by day of week and time of presentation</t>
    </r>
    <r>
      <rPr>
        <b/>
        <vertAlign val="superscript"/>
        <sz val="10"/>
        <rFont val="Arial"/>
        <family val="2"/>
      </rPr>
      <t>(a)</t>
    </r>
    <r>
      <rPr>
        <b/>
        <sz val="10"/>
        <rFont val="Arial"/>
      </rPr>
      <t>, 2024–25</t>
    </r>
  </si>
  <si>
    <r>
      <t>Patient subsequently admitted</t>
    </r>
    <r>
      <rPr>
        <b/>
        <vertAlign val="superscript"/>
        <sz val="8"/>
        <rFont val="Arial"/>
        <family val="2"/>
      </rPr>
      <t>(b)</t>
    </r>
  </si>
  <si>
    <r>
      <t>Patient not admitted</t>
    </r>
    <r>
      <rPr>
        <b/>
        <vertAlign val="superscript"/>
        <sz val="8"/>
        <rFont val="Arial"/>
        <family val="2"/>
      </rPr>
      <t>(c)</t>
    </r>
  </si>
  <si>
    <r>
      <t>Other</t>
    </r>
    <r>
      <rPr>
        <b/>
        <vertAlign val="superscript"/>
        <sz val="8"/>
        <rFont val="Arial"/>
        <family val="2"/>
      </rPr>
      <t>(a)</t>
    </r>
  </si>
  <si>
    <r>
      <rPr>
        <b/>
        <sz val="8"/>
        <rFont val="Arial"/>
        <family val="2"/>
      </rPr>
      <t>Total</t>
    </r>
    <r>
      <rPr>
        <b/>
        <vertAlign val="superscript"/>
        <sz val="8"/>
        <rFont val="Arial"/>
        <family val="2"/>
      </rPr>
      <t>(b)</t>
    </r>
  </si>
  <si>
    <r>
      <t>Total</t>
    </r>
    <r>
      <rPr>
        <b/>
        <vertAlign val="superscript"/>
        <sz val="8"/>
        <rFont val="Arial"/>
        <family val="2"/>
      </rPr>
      <t>(c)(d)</t>
    </r>
  </si>
  <si>
    <r>
      <t>Patient subsequently admitted</t>
    </r>
    <r>
      <rPr>
        <vertAlign val="superscript"/>
        <sz val="8"/>
        <rFont val="Arial"/>
        <family val="2"/>
      </rPr>
      <t>(c)</t>
    </r>
  </si>
  <si>
    <r>
      <t>Patient not admitted</t>
    </r>
    <r>
      <rPr>
        <vertAlign val="superscript"/>
        <sz val="8"/>
        <rFont val="Arial"/>
        <family val="2"/>
      </rPr>
      <t>(d)</t>
    </r>
  </si>
  <si>
    <r>
      <t>Patient subsequently admitted</t>
    </r>
    <r>
      <rPr>
        <b/>
        <vertAlign val="superscript"/>
        <sz val="8"/>
        <rFont val="Arial"/>
        <family val="2"/>
      </rPr>
      <t>(c)</t>
    </r>
  </si>
  <si>
    <r>
      <t>Patient not admitted</t>
    </r>
    <r>
      <rPr>
        <b/>
        <vertAlign val="superscript"/>
        <sz val="8"/>
        <rFont val="Arial"/>
        <family val="2"/>
      </rPr>
      <t>(d)</t>
    </r>
  </si>
  <si>
    <r>
      <t>Total</t>
    </r>
    <r>
      <rPr>
        <b/>
        <vertAlign val="superscript"/>
        <sz val="8"/>
        <rFont val="Arial"/>
        <family val="2"/>
      </rPr>
      <t>(e)</t>
    </r>
  </si>
  <si>
    <r>
      <t>Total</t>
    </r>
    <r>
      <rPr>
        <i/>
        <vertAlign val="superscript"/>
        <sz val="8"/>
        <rFont val="Arial"/>
        <family val="2"/>
      </rPr>
      <t>(b)</t>
    </r>
  </si>
  <si>
    <r>
      <t>Total</t>
    </r>
    <r>
      <rPr>
        <i/>
        <vertAlign val="superscript"/>
        <sz val="8"/>
        <rFont val="Arial"/>
        <family val="2"/>
      </rPr>
      <t>(c)</t>
    </r>
  </si>
  <si>
    <r>
      <t>Total</t>
    </r>
    <r>
      <rPr>
        <b/>
        <vertAlign val="superscript"/>
        <sz val="8"/>
        <rFont val="Arial"/>
        <family val="2"/>
      </rPr>
      <t>(d)</t>
    </r>
  </si>
  <si>
    <r>
      <t>Presentations</t>
    </r>
    <r>
      <rPr>
        <vertAlign val="superscript"/>
        <sz val="8"/>
        <rFont val="Arial"/>
        <family val="2"/>
      </rPr>
      <t>(a)</t>
    </r>
  </si>
  <si>
    <r>
      <t>Presentations</t>
    </r>
    <r>
      <rPr>
        <b/>
        <vertAlign val="superscript"/>
        <sz val="8"/>
        <rFont val="Arial"/>
        <family val="2"/>
      </rPr>
      <t>(a)</t>
    </r>
  </si>
  <si>
    <r>
      <t>Vic</t>
    </r>
    <r>
      <rPr>
        <vertAlign val="superscript"/>
        <sz val="8"/>
        <rFont val="Arial"/>
        <family val="2"/>
      </rPr>
      <t>(b)</t>
    </r>
  </si>
  <si>
    <r>
      <t>Vic</t>
    </r>
    <r>
      <rPr>
        <b/>
        <vertAlign val="superscript"/>
        <sz val="8"/>
        <rFont val="Arial"/>
        <family val="2"/>
      </rPr>
      <t>(a)</t>
    </r>
  </si>
  <si>
    <r>
      <t>Tas</t>
    </r>
    <r>
      <rPr>
        <b/>
        <vertAlign val="superscript"/>
        <sz val="8"/>
        <rFont val="Arial"/>
        <family val="2"/>
      </rPr>
      <t>(c)</t>
    </r>
  </si>
  <si>
    <r>
      <t>Other Australians</t>
    </r>
    <r>
      <rPr>
        <vertAlign val="superscript"/>
        <sz val="8"/>
        <rFont val="Arial"/>
        <family val="2"/>
      </rPr>
      <t>(c)</t>
    </r>
  </si>
  <si>
    <r>
      <t>Error ECDG</t>
    </r>
    <r>
      <rPr>
        <vertAlign val="superscript"/>
        <sz val="8"/>
        <rFont val="Arial"/>
        <family val="2"/>
      </rPr>
      <t>(b)</t>
    </r>
  </si>
  <si>
    <r>
      <t>Remoteness</t>
    </r>
    <r>
      <rPr>
        <b/>
        <vertAlign val="superscript"/>
        <sz val="8"/>
        <rFont val="Arial"/>
        <family val="2"/>
      </rPr>
      <t>(c)</t>
    </r>
  </si>
  <si>
    <r>
      <t>Patient subsequently admitted</t>
    </r>
    <r>
      <rPr>
        <i/>
        <vertAlign val="superscript"/>
        <sz val="8"/>
        <rFont val="Arial"/>
        <family val="2"/>
      </rPr>
      <t>(c)</t>
    </r>
  </si>
  <si>
    <r>
      <t>Patient not admitted</t>
    </r>
    <r>
      <rPr>
        <i/>
        <vertAlign val="superscript"/>
        <sz val="8"/>
        <rFont val="Arial"/>
        <family val="2"/>
      </rPr>
      <t>(d)</t>
    </r>
  </si>
  <si>
    <r>
      <t>Total</t>
    </r>
    <r>
      <rPr>
        <i/>
        <vertAlign val="superscript"/>
        <sz val="8"/>
        <rFont val="Arial"/>
        <family val="2"/>
      </rPr>
      <t>(e)</t>
    </r>
  </si>
  <si>
    <r>
      <t>Subsequently admitted</t>
    </r>
    <r>
      <rPr>
        <vertAlign val="superscript"/>
        <sz val="8"/>
        <rFont val="Arial"/>
        <family val="2"/>
      </rPr>
      <t>(a)</t>
    </r>
  </si>
  <si>
    <r>
      <t>Not subsequently admitted</t>
    </r>
    <r>
      <rPr>
        <vertAlign val="superscript"/>
        <sz val="8"/>
        <rFont val="Arial"/>
        <family val="2"/>
      </rPr>
      <t>(b)</t>
    </r>
  </si>
  <si>
    <r>
      <t>(d)</t>
    </r>
    <r>
      <rPr>
        <sz val="7"/>
        <color indexed="8"/>
        <rFont val="Times New Roman"/>
        <family val="1"/>
      </rPr>
      <t xml:space="preserve">     </t>
    </r>
    <r>
      <rPr>
        <sz val="7"/>
        <color indexed="8"/>
        <rFont val="Arial"/>
        <family val="2"/>
      </rPr>
      <t>The presentation rate ratio is equal to the presentation rate for the socioeconomic quintile divided by the presentation rate for Australia.</t>
    </r>
  </si>
  <si>
    <t>F05 Delirium due to dementia</t>
  </si>
  <si>
    <r>
      <t>(c)</t>
    </r>
    <r>
      <rPr>
        <sz val="7"/>
        <color indexed="8"/>
        <rFont val="Times New Roman"/>
        <family val="1"/>
      </rPr>
      <t xml:space="preserve">     </t>
    </r>
    <r>
      <rPr>
        <sz val="7"/>
        <color indexed="8"/>
        <rFont val="Arial"/>
        <family val="2"/>
      </rPr>
      <t>The presentation rate ratio is equal to the presentation rate for First Nations people divided by the presentation rate for Other Australians.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</si>
</sst>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38" x14ac:knownFonts="1">
    <font>
      <sz val="11"/>
      <color theme="1"/>
      <name val="Calibri"/>
      <family val="2"/>
      <scheme val="minor"/>
    </font>
    <font>
      <sz val="10"/>
      <name val="Arial"/>
      <family val="2"/>
    </font>
    <font>
      <sz val="10"/>
      <color indexed="8"/>
      <name val="Arial"/>
      <family val="2"/>
    </font>
    <font>
      <b/>
      <sz val="12"/>
      <name val="Arial"/>
      <family val="2"/>
    </font>
    <font>
      <u/>
      <sz val="11"/>
      <color theme="10"/>
      <name val="Calibri"/>
      <family val="2"/>
      <scheme val="minor"/>
    </font>
    <font>
      <b/>
      <sz val="12"/>
      <color theme="1"/>
      <name val="Arial"/>
      <family val="2"/>
    </font>
    <font>
      <b/>
      <sz val="9"/>
      <color theme="1"/>
      <name val="Arial"/>
      <family val="2"/>
    </font>
    <font>
      <b/>
      <sz val="10"/>
      <color theme="1"/>
      <name val="Book Antiqua"/>
      <family val="1"/>
    </font>
    <font>
      <b/>
      <sz val="10"/>
      <color theme="1"/>
      <name val="Arial"/>
      <family val="2"/>
    </font>
    <font>
      <b/>
      <sz val="14"/>
      <color theme="1"/>
      <name val="Arial"/>
      <family val="2"/>
    </font>
    <font>
      <b/>
      <sz val="11"/>
      <color theme="1"/>
      <name val="Arial"/>
      <family val="2"/>
    </font>
    <font>
      <sz val="10"/>
      <color theme="1"/>
      <name val="Arial"/>
      <family val="2"/>
    </font>
    <font>
      <sz val="11"/>
      <color theme="1"/>
      <name val="Calibri"/>
      <family val="2"/>
      <scheme val="minor"/>
    </font>
    <font>
      <u/>
      <sz val="11"/>
      <color theme="1"/>
      <name val="Calibri"/>
      <family val="2"/>
      <scheme val="minor"/>
    </font>
    <font>
      <u/>
      <sz val="10"/>
      <color theme="10"/>
      <name val="Arial"/>
      <family val="2"/>
    </font>
    <font>
      <b/>
      <sz val="10"/>
      <name val="Arial"/>
    </font>
    <font>
      <b/>
      <sz val="8"/>
      <name val="Arial"/>
    </font>
    <font>
      <sz val="8"/>
      <name val="Arial"/>
    </font>
    <font>
      <sz val="7"/>
      <name val="Arial"/>
    </font>
    <font>
      <u/>
      <sz val="11"/>
      <color rgb="FF0563C1"/>
      <name val="Calibri"/>
    </font>
    <font>
      <i/>
      <sz val="7"/>
      <color theme="1"/>
      <name val="Arial"/>
    </font>
    <font>
      <sz val="7"/>
      <color theme="1"/>
      <name val="Arial"/>
    </font>
    <font>
      <b/>
      <vertAlign val="superscript"/>
      <sz val="10"/>
      <name val="Arial"/>
    </font>
    <font>
      <b/>
      <vertAlign val="superscript"/>
      <sz val="8"/>
      <name val="Arial"/>
    </font>
    <font>
      <vertAlign val="superscript"/>
      <sz val="8"/>
      <name val="Arial"/>
    </font>
    <font>
      <b/>
      <sz val="8"/>
      <color rgb="FF000000"/>
      <name val="Arial"/>
      <family val="2"/>
    </font>
    <font>
      <sz val="7"/>
      <color theme="1"/>
      <name val="Arial"/>
      <family val="2"/>
    </font>
    <font>
      <sz val="7"/>
      <color indexed="8"/>
      <name val="Times New Roman"/>
      <family val="1"/>
    </font>
    <font>
      <sz val="7"/>
      <color indexed="8"/>
      <name val="Arial"/>
      <family val="2"/>
    </font>
    <font>
      <b/>
      <sz val="8"/>
      <name val="Arial"/>
      <family val="2"/>
    </font>
    <font>
      <b/>
      <vertAlign val="superscript"/>
      <sz val="8"/>
      <name val="Arial"/>
      <family val="2"/>
    </font>
    <font>
      <b/>
      <vertAlign val="superscript"/>
      <sz val="8"/>
      <color rgb="FF000000"/>
      <name val="Arial"/>
      <family val="2"/>
    </font>
    <font>
      <vertAlign val="superscript"/>
      <sz val="8"/>
      <name val="Arial"/>
      <family val="2"/>
    </font>
    <font>
      <sz val="8"/>
      <name val="Arial"/>
      <family val="2"/>
    </font>
    <font>
      <i/>
      <sz val="8"/>
      <name val="Arial"/>
      <family val="2"/>
    </font>
    <font>
      <i/>
      <vertAlign val="superscript"/>
      <sz val="8"/>
      <name val="Arial"/>
      <family val="2"/>
    </font>
    <font>
      <b/>
      <vertAlign val="superscript"/>
      <sz val="10"/>
      <name val="Arial"/>
      <family val="2"/>
    </font>
    <font>
      <b/>
      <sz val="10"/>
      <name val="Arial"/>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
      <patternFill patternType="solid">
        <fgColor theme="0"/>
        <bgColor rgb="FFFFFFFF"/>
      </patternFill>
    </fill>
  </fills>
  <borders count="4">
    <border>
      <left/>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5">
    <xf numFmtId="0" fontId="0" fillId="0" borderId="0"/>
    <xf numFmtId="0" fontId="4" fillId="0" borderId="0"/>
    <xf numFmtId="0" fontId="1" fillId="0" borderId="0"/>
    <xf numFmtId="43" fontId="12" fillId="0" borderId="0"/>
    <xf numFmtId="43" fontId="12" fillId="0" borderId="0"/>
  </cellStyleXfs>
  <cellXfs count="102">
    <xf numFmtId="0" fontId="0" fillId="0" borderId="0" xfId="0"/>
    <xf numFmtId="0" fontId="0" fillId="2" borderId="0" xfId="0" applyFill="1"/>
    <xf numFmtId="0" fontId="8" fillId="2" borderId="0" xfId="0" applyFont="1" applyFill="1"/>
    <xf numFmtId="0" fontId="8" fillId="2" borderId="0" xfId="0" applyFont="1" applyFill="1" applyAlignment="1">
      <alignment vertical="center"/>
    </xf>
    <xf numFmtId="0" fontId="10" fillId="2" borderId="0" xfId="0" applyFont="1" applyFill="1"/>
    <xf numFmtId="0" fontId="11" fillId="2" borderId="0" xfId="0" applyFont="1" applyFill="1"/>
    <xf numFmtId="0" fontId="2" fillId="2" borderId="0" xfId="0" applyFont="1" applyFill="1" applyAlignment="1">
      <alignment horizontal="left"/>
    </xf>
    <xf numFmtId="0" fontId="4" fillId="2" borderId="0" xfId="1" applyFill="1" applyAlignment="1">
      <alignment horizontal="left"/>
    </xf>
    <xf numFmtId="0" fontId="4" fillId="2" borderId="0" xfId="1" applyFill="1"/>
    <xf numFmtId="0" fontId="5" fillId="2" borderId="0" xfId="0" applyFont="1" applyFill="1" applyAlignment="1">
      <alignment horizontal="left"/>
    </xf>
    <xf numFmtId="0" fontId="11" fillId="2" borderId="0" xfId="0" applyFont="1" applyFill="1" applyAlignment="1">
      <alignment horizontal="left"/>
    </xf>
    <xf numFmtId="0" fontId="11" fillId="2" borderId="0" xfId="0" applyFont="1" applyFill="1" applyAlignment="1">
      <alignment horizontal="left" indent="1"/>
    </xf>
    <xf numFmtId="0" fontId="2" fillId="2" borderId="0" xfId="0" applyFont="1" applyFill="1" applyAlignment="1">
      <alignment horizontal="left" indent="1"/>
    </xf>
    <xf numFmtId="0" fontId="5" fillId="2" borderId="0" xfId="0" applyFont="1" applyFill="1"/>
    <xf numFmtId="0" fontId="0" fillId="2" borderId="0" xfId="0" applyFill="1" applyAlignment="1">
      <alignment wrapText="1"/>
    </xf>
    <xf numFmtId="0" fontId="0" fillId="2" borderId="0" xfId="0" applyFill="1" applyAlignment="1">
      <alignment horizontal="left" wrapText="1"/>
    </xf>
    <xf numFmtId="0" fontId="6" fillId="2" borderId="0" xfId="0" applyFont="1" applyFill="1" applyAlignment="1">
      <alignment vertical="center"/>
    </xf>
    <xf numFmtId="0" fontId="4" fillId="2" borderId="0" xfId="1" applyFill="1" applyAlignment="1">
      <alignment vertical="center"/>
    </xf>
    <xf numFmtId="0" fontId="7" fillId="2" borderId="0" xfId="0" applyFont="1" applyFill="1" applyAlignment="1">
      <alignment vertical="center"/>
    </xf>
    <xf numFmtId="0" fontId="2" fillId="0" borderId="0" xfId="0" applyFont="1" applyAlignment="1">
      <alignment horizontal="left"/>
    </xf>
    <xf numFmtId="0" fontId="4" fillId="0" borderId="0" xfId="1" applyAlignment="1">
      <alignment horizontal="left"/>
    </xf>
    <xf numFmtId="0" fontId="4" fillId="0" borderId="0" xfId="1"/>
    <xf numFmtId="0" fontId="3" fillId="0" borderId="0" xfId="1" applyFont="1"/>
    <xf numFmtId="0" fontId="11" fillId="0" borderId="0" xfId="0" applyFont="1" applyAlignment="1">
      <alignment horizontal="left"/>
    </xf>
    <xf numFmtId="0" fontId="11" fillId="0" borderId="0" xfId="0" applyFont="1" applyAlignment="1">
      <alignment horizontal="left" indent="1"/>
    </xf>
    <xf numFmtId="0" fontId="11" fillId="0" borderId="0" xfId="0" applyFont="1"/>
    <xf numFmtId="0" fontId="10" fillId="2" borderId="0" xfId="0" applyFont="1" applyFill="1" applyAlignment="1">
      <alignment horizontal="left"/>
    </xf>
    <xf numFmtId="0" fontId="10" fillId="0" borderId="0" xfId="0" applyFont="1" applyAlignment="1">
      <alignment horizontal="left"/>
    </xf>
    <xf numFmtId="0" fontId="11" fillId="2" borderId="0" xfId="0" applyFont="1" applyFill="1" applyAlignment="1">
      <alignment horizontal="left" wrapText="1"/>
    </xf>
    <xf numFmtId="0" fontId="13" fillId="0" borderId="0" xfId="1" applyFont="1" applyAlignment="1">
      <alignment horizontal="left"/>
    </xf>
    <xf numFmtId="0" fontId="14" fillId="2" borderId="0" xfId="1" applyFont="1" applyFill="1" applyAlignment="1">
      <alignment horizontal="left"/>
    </xf>
    <xf numFmtId="0" fontId="14" fillId="3" borderId="0" xfId="1" applyFont="1" applyFill="1" applyAlignment="1">
      <alignment vertical="center"/>
    </xf>
    <xf numFmtId="0" fontId="14" fillId="2" borderId="0" xfId="1" applyFont="1" applyFill="1" applyAlignment="1">
      <alignment horizontal="left" indent="1"/>
    </xf>
    <xf numFmtId="0" fontId="14" fillId="0" borderId="0" xfId="1" applyFont="1"/>
    <xf numFmtId="0" fontId="14" fillId="2" borderId="0" xfId="1" applyFont="1" applyFill="1"/>
    <xf numFmtId="0" fontId="17" fillId="4" borderId="0" xfId="0" applyFont="1" applyFill="1"/>
    <xf numFmtId="0" fontId="16" fillId="4" borderId="1" xfId="0" applyFont="1" applyFill="1" applyBorder="1" applyAlignment="1">
      <alignment horizontal="left"/>
    </xf>
    <xf numFmtId="0" fontId="16" fillId="4" borderId="1" xfId="0" applyFont="1" applyFill="1" applyBorder="1" applyAlignment="1">
      <alignment horizontal="right" wrapText="1"/>
    </xf>
    <xf numFmtId="0" fontId="17" fillId="4" borderId="0" xfId="0" applyFont="1" applyFill="1" applyAlignment="1">
      <alignment horizontal="left"/>
    </xf>
    <xf numFmtId="3" fontId="17" fillId="4" borderId="0" xfId="0" applyNumberFormat="1" applyFont="1" applyFill="1" applyAlignment="1">
      <alignment horizontal="right" wrapText="1"/>
    </xf>
    <xf numFmtId="164" fontId="17" fillId="4" borderId="0" xfId="0" applyNumberFormat="1" applyFont="1" applyFill="1" applyAlignment="1">
      <alignment horizontal="right" wrapText="1"/>
    </xf>
    <xf numFmtId="0" fontId="16" fillId="4" borderId="2" xfId="0" applyFont="1" applyFill="1" applyBorder="1" applyAlignment="1">
      <alignment horizontal="left"/>
    </xf>
    <xf numFmtId="3" fontId="16" fillId="4" borderId="2" xfId="0" applyNumberFormat="1" applyFont="1" applyFill="1" applyBorder="1" applyAlignment="1">
      <alignment horizontal="right" wrapText="1"/>
    </xf>
    <xf numFmtId="164" fontId="16" fillId="4" borderId="2" xfId="0" applyNumberFormat="1" applyFont="1" applyFill="1" applyBorder="1" applyAlignment="1">
      <alignment horizontal="right" wrapText="1"/>
    </xf>
    <xf numFmtId="0" fontId="18" fillId="4" borderId="0" xfId="0" applyFont="1" applyFill="1"/>
    <xf numFmtId="0" fontId="19" fillId="4" borderId="0" xfId="0" applyFont="1" applyFill="1"/>
    <xf numFmtId="0" fontId="16" fillId="4" borderId="0" xfId="0" applyFont="1" applyFill="1" applyAlignment="1">
      <alignment horizontal="left"/>
    </xf>
    <xf numFmtId="3" fontId="16" fillId="4" borderId="0" xfId="0" applyNumberFormat="1" applyFont="1" applyFill="1" applyAlignment="1">
      <alignment horizontal="right" wrapText="1"/>
    </xf>
    <xf numFmtId="164" fontId="16" fillId="4" borderId="0" xfId="0" applyNumberFormat="1" applyFont="1" applyFill="1" applyAlignment="1">
      <alignment horizontal="right" wrapText="1"/>
    </xf>
    <xf numFmtId="0" fontId="17" fillId="4" borderId="2" xfId="0" applyFont="1" applyFill="1" applyBorder="1" applyAlignment="1">
      <alignment horizontal="left"/>
    </xf>
    <xf numFmtId="3" fontId="17" fillId="4" borderId="2" xfId="0" applyNumberFormat="1" applyFont="1" applyFill="1" applyBorder="1" applyAlignment="1">
      <alignment horizontal="right" wrapText="1"/>
    </xf>
    <xf numFmtId="164" fontId="17" fillId="4" borderId="2" xfId="0" applyNumberFormat="1" applyFont="1" applyFill="1" applyBorder="1" applyAlignment="1">
      <alignment horizontal="right" wrapText="1"/>
    </xf>
    <xf numFmtId="0" fontId="25" fillId="2" borderId="3" xfId="0" applyFont="1" applyFill="1" applyBorder="1" applyAlignment="1">
      <alignment vertical="center" wrapText="1"/>
    </xf>
    <xf numFmtId="0" fontId="26" fillId="2" borderId="0" xfId="0" applyFont="1" applyFill="1" applyAlignment="1">
      <alignment vertical="center"/>
    </xf>
    <xf numFmtId="0" fontId="29" fillId="4" borderId="3" xfId="0" applyFont="1" applyFill="1" applyBorder="1" applyAlignment="1">
      <alignment horizontal="left"/>
    </xf>
    <xf numFmtId="164" fontId="16" fillId="4" borderId="3" xfId="0" applyNumberFormat="1" applyFont="1" applyFill="1" applyBorder="1" applyAlignment="1">
      <alignment horizontal="right" wrapText="1"/>
    </xf>
    <xf numFmtId="0" fontId="26" fillId="2" borderId="0" xfId="0" applyFont="1" applyFill="1" applyAlignment="1">
      <alignment horizontal="left" vertical="center"/>
    </xf>
    <xf numFmtId="0" fontId="29" fillId="4" borderId="1" xfId="0" applyFont="1" applyFill="1" applyBorder="1" applyAlignment="1">
      <alignment horizontal="right" wrapText="1"/>
    </xf>
    <xf numFmtId="0" fontId="33" fillId="4" borderId="0" xfId="0" applyFont="1" applyFill="1" applyAlignment="1">
      <alignment horizontal="left"/>
    </xf>
    <xf numFmtId="0" fontId="29" fillId="4" borderId="2" xfId="0" applyFont="1" applyFill="1" applyBorder="1" applyAlignment="1">
      <alignment horizontal="left"/>
    </xf>
    <xf numFmtId="0" fontId="29" fillId="4" borderId="0" xfId="0" applyFont="1" applyFill="1" applyAlignment="1">
      <alignment horizontal="left"/>
    </xf>
    <xf numFmtId="0" fontId="34" fillId="4" borderId="0" xfId="0" applyFont="1" applyFill="1" applyAlignment="1">
      <alignment horizontal="left"/>
    </xf>
    <xf numFmtId="3" fontId="34" fillId="4" borderId="0" xfId="0" applyNumberFormat="1" applyFont="1" applyFill="1" applyAlignment="1">
      <alignment horizontal="right" wrapText="1"/>
    </xf>
    <xf numFmtId="3" fontId="29" fillId="4" borderId="0" xfId="0" applyNumberFormat="1" applyFont="1" applyFill="1" applyAlignment="1">
      <alignment horizontal="right" wrapText="1"/>
    </xf>
    <xf numFmtId="3" fontId="29" fillId="4" borderId="2" xfId="0" applyNumberFormat="1" applyFont="1" applyFill="1" applyBorder="1" applyAlignment="1">
      <alignment horizontal="right" wrapText="1"/>
    </xf>
    <xf numFmtId="0" fontId="33" fillId="5" borderId="0" xfId="0" applyFont="1" applyFill="1" applyAlignment="1">
      <alignment horizontal="left"/>
    </xf>
    <xf numFmtId="164" fontId="29" fillId="4" borderId="0" xfId="0" applyNumberFormat="1" applyFont="1" applyFill="1" applyAlignment="1">
      <alignment horizontal="right" wrapText="1"/>
    </xf>
    <xf numFmtId="164" fontId="29" fillId="4" borderId="2" xfId="0" applyNumberFormat="1" applyFont="1" applyFill="1" applyBorder="1" applyAlignment="1">
      <alignment horizontal="right" wrapText="1"/>
    </xf>
    <xf numFmtId="0" fontId="29" fillId="5" borderId="0" xfId="0" applyFont="1" applyFill="1" applyAlignment="1">
      <alignment horizontal="left"/>
    </xf>
    <xf numFmtId="0" fontId="34" fillId="5" borderId="0" xfId="0" applyFont="1" applyFill="1" applyAlignment="1">
      <alignment horizontal="left"/>
    </xf>
    <xf numFmtId="0" fontId="29" fillId="5" borderId="3" xfId="0" applyFont="1" applyFill="1" applyBorder="1" applyAlignment="1">
      <alignment horizontal="left"/>
    </xf>
    <xf numFmtId="0" fontId="29" fillId="5" borderId="1" xfId="0" applyFont="1" applyFill="1" applyBorder="1" applyAlignment="1">
      <alignment horizontal="right"/>
    </xf>
    <xf numFmtId="0" fontId="33" fillId="4" borderId="3" xfId="0" applyFont="1" applyFill="1" applyBorder="1" applyAlignment="1">
      <alignment horizontal="left"/>
    </xf>
    <xf numFmtId="164" fontId="34" fillId="4" borderId="0" xfId="0" applyNumberFormat="1" applyFont="1" applyFill="1" applyAlignment="1">
      <alignment horizontal="right" wrapText="1"/>
    </xf>
    <xf numFmtId="0" fontId="29" fillId="4" borderId="1" xfId="0" applyFont="1" applyFill="1" applyBorder="1" applyAlignment="1">
      <alignment horizontal="left"/>
    </xf>
    <xf numFmtId="0" fontId="34" fillId="4" borderId="2" xfId="0" applyFont="1" applyFill="1" applyBorder="1" applyAlignment="1">
      <alignment horizontal="left"/>
    </xf>
    <xf numFmtId="0" fontId="34" fillId="4" borderId="3" xfId="0" applyFont="1" applyFill="1" applyBorder="1" applyAlignment="1">
      <alignment horizontal="left"/>
    </xf>
    <xf numFmtId="3" fontId="33" fillId="4" borderId="0" xfId="0" applyNumberFormat="1" applyFont="1" applyFill="1" applyAlignment="1">
      <alignment horizontal="right" wrapText="1"/>
    </xf>
    <xf numFmtId="0" fontId="11" fillId="2" borderId="0" xfId="0" applyFont="1" applyFill="1" applyAlignment="1">
      <alignment horizontal="left" vertical="top" wrapText="1"/>
    </xf>
    <xf numFmtId="0" fontId="0" fillId="2" borderId="0" xfId="0" applyFill="1"/>
    <xf numFmtId="0" fontId="8" fillId="2" borderId="0" xfId="0" applyFont="1" applyFill="1" applyAlignment="1">
      <alignment vertical="center" wrapText="1"/>
    </xf>
    <xf numFmtId="0" fontId="8" fillId="2" borderId="0" xfId="0" applyFont="1" applyFill="1" applyAlignment="1">
      <alignment wrapText="1"/>
    </xf>
    <xf numFmtId="0" fontId="2" fillId="2" borderId="0" xfId="0" applyFont="1" applyFill="1" applyAlignment="1">
      <alignment horizontal="left" wrapText="1"/>
    </xf>
    <xf numFmtId="0" fontId="14" fillId="2" borderId="0" xfId="1" applyFont="1" applyFill="1"/>
    <xf numFmtId="0" fontId="14" fillId="0" borderId="0" xfId="1" applyFont="1" applyAlignment="1">
      <alignment horizontal="left"/>
    </xf>
    <xf numFmtId="0" fontId="11" fillId="2" borderId="0" xfId="0" applyFont="1" applyFill="1" applyAlignment="1">
      <alignment vertical="top" wrapText="1"/>
    </xf>
    <xf numFmtId="0" fontId="11" fillId="2" borderId="0" xfId="0" applyFont="1" applyFill="1" applyAlignment="1">
      <alignment wrapText="1"/>
    </xf>
    <xf numFmtId="0" fontId="8" fillId="2" borderId="0" xfId="0" applyFont="1" applyFill="1" applyAlignment="1">
      <alignment horizontal="left" wrapText="1"/>
    </xf>
    <xf numFmtId="0" fontId="14" fillId="0" borderId="0" xfId="1" applyFont="1"/>
    <xf numFmtId="0" fontId="8" fillId="0" borderId="0" xfId="0" applyFont="1" applyAlignment="1">
      <alignment wrapText="1"/>
    </xf>
    <xf numFmtId="0" fontId="9" fillId="2" borderId="0" xfId="0" applyFont="1" applyFill="1" applyAlignment="1">
      <alignment horizontal="left"/>
    </xf>
    <xf numFmtId="0" fontId="14" fillId="2" borderId="0" xfId="1" applyFont="1" applyFill="1" applyAlignment="1">
      <alignment horizontal="left"/>
    </xf>
    <xf numFmtId="0" fontId="11" fillId="0" borderId="0" xfId="0" applyFont="1" applyAlignment="1">
      <alignment horizontal="left" wrapText="1"/>
    </xf>
    <xf numFmtId="0" fontId="11" fillId="2" borderId="0" xfId="0" applyFont="1" applyFill="1" applyAlignment="1">
      <alignment horizontal="left" wrapText="1"/>
    </xf>
    <xf numFmtId="0" fontId="11" fillId="2" borderId="0" xfId="0" applyFont="1" applyFill="1" applyAlignment="1">
      <alignment horizontal="left"/>
    </xf>
    <xf numFmtId="0" fontId="8" fillId="2" borderId="0" xfId="0" applyFont="1" applyFill="1"/>
    <xf numFmtId="0" fontId="15" fillId="4" borderId="0" xfId="0" applyFont="1" applyFill="1" applyAlignment="1">
      <alignment vertical="center" wrapText="1"/>
    </xf>
    <xf numFmtId="0" fontId="17" fillId="4" borderId="0" xfId="0" applyFont="1" applyFill="1"/>
    <xf numFmtId="0" fontId="18" fillId="4" borderId="0" xfId="0" applyFont="1" applyFill="1" applyAlignment="1">
      <alignment vertical="top" wrapText="1"/>
    </xf>
    <xf numFmtId="0" fontId="0" fillId="0" borderId="0" xfId="0"/>
    <xf numFmtId="0" fontId="0" fillId="4" borderId="0" xfId="0" applyFill="1" applyAlignment="1">
      <alignment vertical="top" wrapText="1"/>
    </xf>
    <xf numFmtId="0" fontId="37" fillId="4" borderId="0" xfId="0" applyFont="1" applyFill="1" applyAlignment="1">
      <alignment vertical="center" wrapText="1"/>
    </xf>
  </cellXfs>
  <cellStyles count="5">
    <cellStyle name="Comma 2" xfId="3" xr:uid="{00000000-0005-0000-0000-000003000000}"/>
    <cellStyle name="Comma 3" xfId="4" xr:uid="{00000000-0005-0000-0000-000004000000}"/>
    <cellStyle name="Hyperlink" xfId="1" builtinId="8"/>
    <cellStyle name="Normal" xfId="0" builtinId="0"/>
    <cellStyle name="Normal 2 2" xfId="2" xr:uid="{00000000-0005-0000-0000-000002000000}"/>
  </cellStyles>
  <dxfs count="0"/>
  <tableStyles count="1" defaultTableStyle="TableStyleMedium2" defaultPivotStyle="PivotStyleLight16">
    <tableStyle name="PivotTable Style 1"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1</xdr:col>
      <xdr:colOff>3314276</xdr:colOff>
      <xdr:row>4</xdr:row>
      <xdr:rowOff>9436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5725" y="57150"/>
          <a:ext cx="3390476" cy="71428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meteor.aihw.gov.au/content/index.phtml/itemId/602543" TargetMode="External"/><Relationship Id="rId13" Type="http://schemas.openxmlformats.org/officeDocument/2006/relationships/hyperlink" Target="https://meteor.aihw.gov.au/content/746114" TargetMode="External"/><Relationship Id="rId18" Type="http://schemas.openxmlformats.org/officeDocument/2006/relationships/hyperlink" Target="https://meteor.aihw.gov.au/content/780491" TargetMode="External"/><Relationship Id="rId3" Type="http://schemas.openxmlformats.org/officeDocument/2006/relationships/hyperlink" Target="https://www.aihw.gov.au/reports-data/myhospitals/content/about-the-data" TargetMode="External"/><Relationship Id="rId7" Type="http://schemas.openxmlformats.org/officeDocument/2006/relationships/hyperlink" Target="https://meteor.aihw.gov.au/content/799815" TargetMode="External"/><Relationship Id="rId12" Type="http://schemas.openxmlformats.org/officeDocument/2006/relationships/hyperlink" Target="https://meteor.aihw.gov.au/content/799764" TargetMode="External"/><Relationship Id="rId17" Type="http://schemas.openxmlformats.org/officeDocument/2006/relationships/hyperlink" Target="https://www.aihw.gov.au/reports-data/myhospitals/content/about-the-data" TargetMode="External"/><Relationship Id="rId2" Type="http://schemas.openxmlformats.org/officeDocument/2006/relationships/hyperlink" Target="https://meteor.aihw.gov.au/content/775634" TargetMode="External"/><Relationship Id="rId16" Type="http://schemas.openxmlformats.org/officeDocument/2006/relationships/hyperlink" Target="https://www.ihacpa.gov.au/health-care/classification/emergency-care/aecc" TargetMode="External"/><Relationship Id="rId1" Type="http://schemas.openxmlformats.org/officeDocument/2006/relationships/hyperlink" Target="https://meteor.aihw.gov.au/content/775643" TargetMode="External"/><Relationship Id="rId6" Type="http://schemas.openxmlformats.org/officeDocument/2006/relationships/hyperlink" Target="https://meteor.aihw.gov.au/content/799771" TargetMode="External"/><Relationship Id="rId11" Type="http://schemas.openxmlformats.org/officeDocument/2006/relationships/hyperlink" Target="https://www.abs.gov.au/statistics/detailed-methodology-information/concepts-sources-methods/socio-economic-indexes-areas-seifa-technical-paper/2021" TargetMode="External"/><Relationship Id="rId5" Type="http://schemas.openxmlformats.org/officeDocument/2006/relationships/hyperlink" Target="https://www.aihw.gov.au/reports/hospitals/australian-hospital-peer-groups/contents/table-of-contents" TargetMode="External"/><Relationship Id="rId15" Type="http://schemas.openxmlformats.org/officeDocument/2006/relationships/hyperlink" Target="https://meteor.aihw.gov.au/content/796802" TargetMode="External"/><Relationship Id="rId10" Type="http://schemas.openxmlformats.org/officeDocument/2006/relationships/hyperlink" Target="https://www.abs.gov.au/statistics/standards/australian-statistical-geography-standard-asgs-edition-3/latest-release" TargetMode="External"/><Relationship Id="rId4" Type="http://schemas.openxmlformats.org/officeDocument/2006/relationships/hyperlink" Target="https://www.aihw.gov.au/reports/hospitals/australian-hospital-peer-groups/summary" TargetMode="External"/><Relationship Id="rId9" Type="http://schemas.openxmlformats.org/officeDocument/2006/relationships/hyperlink" Target="https://meteor.aihw.gov.au/content/747315" TargetMode="External"/><Relationship Id="rId14" Type="http://schemas.openxmlformats.org/officeDocument/2006/relationships/hyperlink" Target="https://meteor.aihw.gov.au/content/76491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26"/>
  <sheetViews>
    <sheetView showGridLines="0" tabSelected="1" topLeftCell="B1" zoomScaleNormal="100" workbookViewId="0">
      <selection activeCell="B6" sqref="B6"/>
    </sheetView>
  </sheetViews>
  <sheetFormatPr defaultColWidth="9.1796875" defaultRowHeight="14.75" customHeight="1" x14ac:dyDescent="0.35"/>
  <cols>
    <col min="1" max="1" width="2.36328125" customWidth="1"/>
    <col min="2" max="2" width="222" customWidth="1"/>
    <col min="3" max="3" width="9.1796875" customWidth="1"/>
  </cols>
  <sheetData>
    <row r="1" spans="1:2" ht="14.5" x14ac:dyDescent="0.35">
      <c r="A1" s="1" t="s">
        <v>0</v>
      </c>
      <c r="B1" s="1"/>
    </row>
    <row r="2" spans="1:2" ht="14.5" x14ac:dyDescent="0.35">
      <c r="A2" s="1"/>
      <c r="B2" s="1"/>
    </row>
    <row r="3" spans="1:2" ht="14.5" x14ac:dyDescent="0.35">
      <c r="A3" s="1"/>
      <c r="B3" s="1"/>
    </row>
    <row r="4" spans="1:2" ht="14.5" x14ac:dyDescent="0.35">
      <c r="A4" s="1"/>
      <c r="B4" s="1"/>
    </row>
    <row r="5" spans="1:2" ht="14" customHeight="1" x14ac:dyDescent="0.35">
      <c r="A5" s="1"/>
      <c r="B5" s="1"/>
    </row>
    <row r="6" spans="1:2" ht="15.5" customHeight="1" x14ac:dyDescent="0.35">
      <c r="A6" s="1"/>
      <c r="B6" s="13" t="s">
        <v>1</v>
      </c>
    </row>
    <row r="7" spans="1:2" ht="14.5" x14ac:dyDescent="0.35">
      <c r="A7" s="1"/>
      <c r="B7" s="1"/>
    </row>
    <row r="8" spans="1:2" ht="14.5" x14ac:dyDescent="0.35">
      <c r="A8" s="1"/>
      <c r="B8" s="2" t="s">
        <v>2</v>
      </c>
    </row>
    <row r="9" spans="1:2" ht="14.5" x14ac:dyDescent="0.35">
      <c r="A9" s="1"/>
      <c r="B9" s="8" t="s">
        <v>3</v>
      </c>
    </row>
    <row r="10" spans="1:2" ht="14.5" x14ac:dyDescent="0.35">
      <c r="A10" s="1"/>
      <c r="B10" s="8"/>
    </row>
    <row r="11" spans="1:2" ht="14.5" x14ac:dyDescent="0.35">
      <c r="A11" s="1"/>
      <c r="B11" s="2" t="s">
        <v>4</v>
      </c>
    </row>
    <row r="12" spans="1:2" ht="14.5" x14ac:dyDescent="0.35">
      <c r="A12" s="1"/>
      <c r="B12" s="8" t="s">
        <v>5</v>
      </c>
    </row>
    <row r="13" spans="1:2" ht="14.5" x14ac:dyDescent="0.35">
      <c r="A13" s="1"/>
      <c r="B13" s="1"/>
    </row>
    <row r="14" spans="1:2" ht="14.5" x14ac:dyDescent="0.35">
      <c r="A14" s="1"/>
      <c r="B14" s="8" t="s">
        <v>6</v>
      </c>
    </row>
    <row r="15" spans="1:2" ht="14.5" x14ac:dyDescent="0.35">
      <c r="A15" s="1"/>
      <c r="B15" s="16"/>
    </row>
    <row r="16" spans="1:2" ht="14.5" x14ac:dyDescent="0.35">
      <c r="A16" s="1"/>
      <c r="B16" s="8" t="s">
        <v>7</v>
      </c>
    </row>
    <row r="17" spans="1:2" ht="14.5" x14ac:dyDescent="0.35">
      <c r="A17" s="1"/>
      <c r="B17" s="8"/>
    </row>
    <row r="18" spans="1:2" ht="14.5" x14ac:dyDescent="0.35">
      <c r="A18" s="1"/>
      <c r="B18" s="3" t="s">
        <v>8</v>
      </c>
    </row>
    <row r="19" spans="1:2" ht="14.5" x14ac:dyDescent="0.35">
      <c r="A19" s="1"/>
      <c r="B19" s="8" t="s">
        <v>9</v>
      </c>
    </row>
    <row r="20" spans="1:2" ht="14.5" x14ac:dyDescent="0.35">
      <c r="A20" s="1"/>
      <c r="B20" s="16"/>
    </row>
    <row r="21" spans="1:2" ht="14.5" x14ac:dyDescent="0.35">
      <c r="A21" s="1"/>
      <c r="B21" s="8" t="s">
        <v>10</v>
      </c>
    </row>
    <row r="22" spans="1:2" ht="14.5" x14ac:dyDescent="0.35">
      <c r="A22" s="1"/>
      <c r="B22" s="16"/>
    </row>
    <row r="23" spans="1:2" ht="14.5" x14ac:dyDescent="0.35">
      <c r="A23" s="1"/>
      <c r="B23" s="8" t="s">
        <v>11</v>
      </c>
    </row>
    <row r="24" spans="1:2" ht="14.5" x14ac:dyDescent="0.35">
      <c r="A24" s="1"/>
      <c r="B24" s="8"/>
    </row>
    <row r="25" spans="1:2" ht="14.5" x14ac:dyDescent="0.35">
      <c r="A25" s="1"/>
      <c r="B25" s="8" t="s">
        <v>12</v>
      </c>
    </row>
    <row r="26" spans="1:2" ht="14.5" x14ac:dyDescent="0.35">
      <c r="A26" s="1"/>
      <c r="B26" s="1"/>
    </row>
    <row r="27" spans="1:2" ht="14.5" x14ac:dyDescent="0.35">
      <c r="A27" s="1"/>
      <c r="B27" s="2" t="s">
        <v>13</v>
      </c>
    </row>
    <row r="28" spans="1:2" ht="14.5" x14ac:dyDescent="0.35">
      <c r="A28" s="1"/>
      <c r="B28" s="8" t="s">
        <v>14</v>
      </c>
    </row>
    <row r="29" spans="1:2" ht="14.5" x14ac:dyDescent="0.35">
      <c r="A29" s="1"/>
      <c r="B29" s="16"/>
    </row>
    <row r="30" spans="1:2" ht="14.5" x14ac:dyDescent="0.35">
      <c r="A30" s="1"/>
      <c r="B30" s="8" t="s">
        <v>15</v>
      </c>
    </row>
    <row r="31" spans="1:2" ht="14.5" x14ac:dyDescent="0.35">
      <c r="A31" s="1"/>
      <c r="B31" s="16"/>
    </row>
    <row r="32" spans="1:2" ht="14.5" x14ac:dyDescent="0.35">
      <c r="A32" s="1"/>
      <c r="B32" s="17" t="s">
        <v>16</v>
      </c>
    </row>
    <row r="33" spans="1:2" ht="14.5" x14ac:dyDescent="0.35">
      <c r="A33" s="1"/>
      <c r="B33" s="16"/>
    </row>
    <row r="34" spans="1:2" ht="14.5" x14ac:dyDescent="0.35">
      <c r="A34" s="1"/>
      <c r="B34" s="8" t="s">
        <v>17</v>
      </c>
    </row>
    <row r="35" spans="1:2" ht="14.5" x14ac:dyDescent="0.35">
      <c r="A35" s="1"/>
      <c r="B35" s="18"/>
    </row>
    <row r="36" spans="1:2" ht="14.5" x14ac:dyDescent="0.35">
      <c r="A36" s="1"/>
      <c r="B36" s="8" t="s">
        <v>18</v>
      </c>
    </row>
    <row r="37" spans="1:2" ht="14.5" x14ac:dyDescent="0.35">
      <c r="A37" s="1"/>
      <c r="B37" s="16"/>
    </row>
    <row r="38" spans="1:2" ht="14.5" x14ac:dyDescent="0.35">
      <c r="A38" s="1"/>
      <c r="B38" s="8" t="s">
        <v>19</v>
      </c>
    </row>
    <row r="39" spans="1:2" ht="14.5" x14ac:dyDescent="0.35">
      <c r="A39" s="1"/>
      <c r="B39" s="16"/>
    </row>
    <row r="40" spans="1:2" ht="14.5" x14ac:dyDescent="0.35">
      <c r="A40" s="1"/>
      <c r="B40" s="8" t="s">
        <v>20</v>
      </c>
    </row>
    <row r="41" spans="1:2" ht="14.5" x14ac:dyDescent="0.35">
      <c r="A41" s="1"/>
      <c r="B41" s="16"/>
    </row>
    <row r="42" spans="1:2" ht="14.5" x14ac:dyDescent="0.35">
      <c r="A42" s="1"/>
      <c r="B42" s="8" t="s">
        <v>21</v>
      </c>
    </row>
    <row r="43" spans="1:2" ht="14.5" x14ac:dyDescent="0.35">
      <c r="A43" s="1"/>
      <c r="B43" s="16"/>
    </row>
    <row r="44" spans="1:2" ht="14.5" x14ac:dyDescent="0.35">
      <c r="A44" s="1"/>
      <c r="B44" s="8" t="s">
        <v>22</v>
      </c>
    </row>
    <row r="45" spans="1:2" ht="14.5" x14ac:dyDescent="0.35">
      <c r="A45" s="1"/>
      <c r="B45" s="16"/>
    </row>
    <row r="46" spans="1:2" ht="14.5" x14ac:dyDescent="0.35">
      <c r="A46" s="1"/>
      <c r="B46" s="8" t="s">
        <v>23</v>
      </c>
    </row>
    <row r="47" spans="1:2" ht="14.5" x14ac:dyDescent="0.35">
      <c r="A47" s="1"/>
      <c r="B47" s="16"/>
    </row>
    <row r="48" spans="1:2" ht="14.5" x14ac:dyDescent="0.35">
      <c r="A48" s="1"/>
      <c r="B48" s="8" t="s">
        <v>24</v>
      </c>
    </row>
    <row r="49" spans="1:2" ht="14.5" x14ac:dyDescent="0.35">
      <c r="A49" s="1"/>
      <c r="B49" s="16"/>
    </row>
    <row r="50" spans="1:2" ht="14.5" x14ac:dyDescent="0.35">
      <c r="A50" s="1"/>
      <c r="B50" s="8" t="s">
        <v>25</v>
      </c>
    </row>
    <row r="51" spans="1:2" ht="14.5" x14ac:dyDescent="0.35">
      <c r="A51" s="1"/>
      <c r="B51" s="16"/>
    </row>
    <row r="52" spans="1:2" ht="14.5" x14ac:dyDescent="0.35">
      <c r="A52" s="1"/>
      <c r="B52" s="8" t="s">
        <v>26</v>
      </c>
    </row>
    <row r="53" spans="1:2" ht="14.5" x14ac:dyDescent="0.35">
      <c r="A53" s="1"/>
      <c r="B53" s="16"/>
    </row>
    <row r="54" spans="1:2" ht="14.5" x14ac:dyDescent="0.35">
      <c r="A54" s="1"/>
      <c r="B54" s="8" t="s">
        <v>27</v>
      </c>
    </row>
    <row r="55" spans="1:2" ht="14.5" x14ac:dyDescent="0.35">
      <c r="A55" s="1"/>
      <c r="B55" s="8"/>
    </row>
    <row r="56" spans="1:2" ht="14.5" x14ac:dyDescent="0.35">
      <c r="A56" s="1"/>
      <c r="B56" s="8" t="s">
        <v>28</v>
      </c>
    </row>
    <row r="57" spans="1:2" ht="14.5" x14ac:dyDescent="0.35">
      <c r="A57" s="1"/>
      <c r="B57" s="8"/>
    </row>
    <row r="58" spans="1:2" ht="14.5" x14ac:dyDescent="0.35">
      <c r="A58" s="1"/>
      <c r="B58" s="8" t="s">
        <v>29</v>
      </c>
    </row>
    <row r="59" spans="1:2" ht="14.5" x14ac:dyDescent="0.35">
      <c r="A59" s="1"/>
      <c r="B59" s="8"/>
    </row>
    <row r="60" spans="1:2" ht="14.5" x14ac:dyDescent="0.35">
      <c r="A60" s="1"/>
      <c r="B60" s="2" t="s">
        <v>30</v>
      </c>
    </row>
    <row r="61" spans="1:2" ht="14.5" x14ac:dyDescent="0.35">
      <c r="A61" s="1"/>
      <c r="B61" s="8" t="s">
        <v>31</v>
      </c>
    </row>
    <row r="62" spans="1:2" ht="14.5" x14ac:dyDescent="0.35">
      <c r="A62" s="1"/>
      <c r="B62" s="8"/>
    </row>
    <row r="63" spans="1:2" ht="14.5" x14ac:dyDescent="0.35">
      <c r="A63" s="1"/>
      <c r="B63" s="8" t="s">
        <v>32</v>
      </c>
    </row>
    <row r="64" spans="1:2" ht="14.5" x14ac:dyDescent="0.35">
      <c r="A64" s="1"/>
      <c r="B64" s="17"/>
    </row>
    <row r="65" spans="1:2" ht="14.5" x14ac:dyDescent="0.35">
      <c r="A65" s="1"/>
      <c r="B65" s="8" t="s">
        <v>33</v>
      </c>
    </row>
    <row r="66" spans="1:2" ht="14.5" x14ac:dyDescent="0.35">
      <c r="A66" s="1"/>
      <c r="B66" s="1"/>
    </row>
    <row r="67" spans="1:2" ht="14.5" x14ac:dyDescent="0.35">
      <c r="A67" s="1"/>
      <c r="B67" s="8" t="s">
        <v>34</v>
      </c>
    </row>
    <row r="68" spans="1:2" ht="14.5" x14ac:dyDescent="0.35">
      <c r="A68" s="1"/>
      <c r="B68" s="8"/>
    </row>
    <row r="69" spans="1:2" ht="14.5" x14ac:dyDescent="0.35">
      <c r="A69" s="1"/>
      <c r="B69" s="8" t="s">
        <v>35</v>
      </c>
    </row>
    <row r="70" spans="1:2" ht="14.5" x14ac:dyDescent="0.35">
      <c r="A70" s="1"/>
      <c r="B70" s="8"/>
    </row>
    <row r="71" spans="1:2" ht="14.5" x14ac:dyDescent="0.35">
      <c r="A71" s="1"/>
      <c r="B71" s="8" t="s">
        <v>36</v>
      </c>
    </row>
    <row r="72" spans="1:2" ht="14.5" x14ac:dyDescent="0.35">
      <c r="A72" s="1"/>
      <c r="B72" s="8"/>
    </row>
    <row r="73" spans="1:2" ht="14.5" x14ac:dyDescent="0.35">
      <c r="A73" s="1"/>
      <c r="B73" s="2" t="s">
        <v>37</v>
      </c>
    </row>
    <row r="74" spans="1:2" ht="14.5" x14ac:dyDescent="0.35">
      <c r="A74" s="1"/>
      <c r="B74" s="8" t="s">
        <v>38</v>
      </c>
    </row>
    <row r="75" spans="1:2" ht="14.5" x14ac:dyDescent="0.35">
      <c r="A75" s="1"/>
      <c r="B75" s="1"/>
    </row>
    <row r="76" spans="1:2" ht="14.5" x14ac:dyDescent="0.35">
      <c r="A76" s="1"/>
      <c r="B76" s="8" t="s">
        <v>39</v>
      </c>
    </row>
    <row r="77" spans="1:2" ht="14.5" x14ac:dyDescent="0.35">
      <c r="A77" s="1"/>
      <c r="B77" s="1"/>
    </row>
    <row r="78" spans="1:2" ht="14.5" x14ac:dyDescent="0.35">
      <c r="A78" s="1"/>
      <c r="B78" s="8" t="s">
        <v>40</v>
      </c>
    </row>
    <row r="79" spans="1:2" ht="14.5" x14ac:dyDescent="0.35">
      <c r="A79" s="1"/>
      <c r="B79" s="1"/>
    </row>
    <row r="80" spans="1:2" ht="14.5" x14ac:dyDescent="0.35">
      <c r="A80" s="1"/>
      <c r="B80" s="8" t="s">
        <v>41</v>
      </c>
    </row>
    <row r="81" spans="1:2" ht="14.5" x14ac:dyDescent="0.35">
      <c r="A81" s="1"/>
      <c r="B81" s="1"/>
    </row>
    <row r="82" spans="1:2" ht="14.5" x14ac:dyDescent="0.35">
      <c r="A82" s="1"/>
      <c r="B82" s="8" t="s">
        <v>42</v>
      </c>
    </row>
    <row r="83" spans="1:2" ht="14.5" x14ac:dyDescent="0.35">
      <c r="A83" s="1"/>
      <c r="B83" s="1"/>
    </row>
    <row r="84" spans="1:2" ht="14.5" x14ac:dyDescent="0.35">
      <c r="A84" s="1"/>
      <c r="B84" s="8" t="s">
        <v>43</v>
      </c>
    </row>
    <row r="85" spans="1:2" ht="14.5" x14ac:dyDescent="0.35">
      <c r="A85" s="1"/>
      <c r="B85" s="1"/>
    </row>
    <row r="86" spans="1:2" ht="14.5" x14ac:dyDescent="0.35">
      <c r="A86" s="1"/>
      <c r="B86" s="8" t="s">
        <v>44</v>
      </c>
    </row>
    <row r="87" spans="1:2" ht="14.5" x14ac:dyDescent="0.35">
      <c r="A87" s="1"/>
      <c r="B87" s="1"/>
    </row>
    <row r="88" spans="1:2" ht="14.5" x14ac:dyDescent="0.35">
      <c r="A88" s="1"/>
      <c r="B88" s="8" t="s">
        <v>45</v>
      </c>
    </row>
    <row r="89" spans="1:2" ht="14.5" x14ac:dyDescent="0.35">
      <c r="A89" s="1"/>
      <c r="B89" s="1"/>
    </row>
    <row r="90" spans="1:2" ht="14.5" x14ac:dyDescent="0.35">
      <c r="A90" s="1"/>
      <c r="B90" s="2" t="s">
        <v>46</v>
      </c>
    </row>
    <row r="91" spans="1:2" ht="14.5" x14ac:dyDescent="0.35">
      <c r="A91" s="1"/>
      <c r="B91" s="8" t="s">
        <v>47</v>
      </c>
    </row>
    <row r="92" spans="1:2" ht="14.5" x14ac:dyDescent="0.35">
      <c r="A92" s="1"/>
      <c r="B92" s="1"/>
    </row>
    <row r="93" spans="1:2" ht="14.5" x14ac:dyDescent="0.35">
      <c r="A93" s="1"/>
      <c r="B93" s="8" t="s">
        <v>48</v>
      </c>
    </row>
    <row r="94" spans="1:2" ht="14.5" x14ac:dyDescent="0.35">
      <c r="A94" s="1"/>
      <c r="B94" s="8"/>
    </row>
    <row r="95" spans="1:2" ht="14.5" x14ac:dyDescent="0.35">
      <c r="A95" s="1"/>
      <c r="B95" s="8" t="s">
        <v>49</v>
      </c>
    </row>
    <row r="96" spans="1:2" ht="14.5" x14ac:dyDescent="0.35">
      <c r="A96" s="1"/>
      <c r="B96" s="8"/>
    </row>
    <row r="97" spans="1:2" ht="14.5" x14ac:dyDescent="0.35">
      <c r="A97" s="1"/>
      <c r="B97" s="8" t="s">
        <v>50</v>
      </c>
    </row>
    <row r="98" spans="1:2" ht="14.5" x14ac:dyDescent="0.35">
      <c r="A98" s="1"/>
      <c r="B98" s="8"/>
    </row>
    <row r="99" spans="1:2" ht="14.5" x14ac:dyDescent="0.35">
      <c r="A99" s="1"/>
      <c r="B99" s="2" t="s">
        <v>51</v>
      </c>
    </row>
    <row r="100" spans="1:2" ht="14.5" x14ac:dyDescent="0.35">
      <c r="A100" s="1"/>
      <c r="B100" s="8" t="s">
        <v>52</v>
      </c>
    </row>
    <row r="101" spans="1:2" ht="14.5" x14ac:dyDescent="0.35">
      <c r="A101" s="1"/>
      <c r="B101" s="8"/>
    </row>
    <row r="102" spans="1:2" ht="14.5" x14ac:dyDescent="0.35">
      <c r="A102" s="1"/>
      <c r="B102" s="8" t="s">
        <v>53</v>
      </c>
    </row>
    <row r="103" spans="1:2" ht="14.5" x14ac:dyDescent="0.35">
      <c r="A103" s="1"/>
      <c r="B103" s="1"/>
    </row>
    <row r="104" spans="1:2" ht="14.5" x14ac:dyDescent="0.35">
      <c r="A104" s="1"/>
      <c r="B104" s="8" t="s">
        <v>54</v>
      </c>
    </row>
    <row r="105" spans="1:2" ht="14.5" x14ac:dyDescent="0.35">
      <c r="A105" s="1"/>
      <c r="B105" s="8"/>
    </row>
    <row r="106" spans="1:2" ht="14.5" x14ac:dyDescent="0.35">
      <c r="A106" s="1"/>
      <c r="B106" s="8" t="s">
        <v>55</v>
      </c>
    </row>
    <row r="107" spans="1:2" ht="14.5" x14ac:dyDescent="0.35">
      <c r="A107" s="1"/>
      <c r="B107" s="8"/>
    </row>
    <row r="108" spans="1:2" ht="14.5" x14ac:dyDescent="0.35">
      <c r="A108" s="1"/>
      <c r="B108" s="8" t="s">
        <v>56</v>
      </c>
    </row>
    <row r="109" spans="1:2" ht="14.5" x14ac:dyDescent="0.35">
      <c r="A109" s="1"/>
      <c r="B109" s="8"/>
    </row>
    <row r="110" spans="1:2" ht="14.5" x14ac:dyDescent="0.35">
      <c r="A110" s="1"/>
      <c r="B110" s="8" t="s">
        <v>57</v>
      </c>
    </row>
    <row r="111" spans="1:2" ht="14.5" x14ac:dyDescent="0.35">
      <c r="A111" s="1"/>
      <c r="B111" s="16"/>
    </row>
    <row r="112" spans="1:2" ht="14.5" x14ac:dyDescent="0.35">
      <c r="A112" s="1"/>
      <c r="B112" s="8" t="s">
        <v>58</v>
      </c>
    </row>
    <row r="113" spans="1:2" ht="14.5" x14ac:dyDescent="0.35">
      <c r="A113" s="1"/>
      <c r="B113" s="1"/>
    </row>
    <row r="114" spans="1:2" ht="14.5" x14ac:dyDescent="0.35">
      <c r="A114" s="1"/>
      <c r="B114" s="8" t="s">
        <v>59</v>
      </c>
    </row>
    <row r="115" spans="1:2" ht="14.5" x14ac:dyDescent="0.35">
      <c r="A115" s="1"/>
      <c r="B115" s="1"/>
    </row>
    <row r="116" spans="1:2" ht="14.5" x14ac:dyDescent="0.35">
      <c r="A116" s="1"/>
      <c r="B116" s="8" t="s">
        <v>60</v>
      </c>
    </row>
    <row r="117" spans="1:2" ht="14.5" x14ac:dyDescent="0.35">
      <c r="A117" s="1"/>
      <c r="B117" s="1"/>
    </row>
    <row r="118" spans="1:2" ht="14.5" x14ac:dyDescent="0.35">
      <c r="A118" s="1"/>
      <c r="B118" s="8" t="s">
        <v>61</v>
      </c>
    </row>
    <row r="119" spans="1:2" ht="14.5" x14ac:dyDescent="0.35">
      <c r="A119" s="1"/>
      <c r="B119" s="8"/>
    </row>
    <row r="120" spans="1:2" ht="14.5" x14ac:dyDescent="0.35">
      <c r="A120" s="1"/>
      <c r="B120" s="8" t="s">
        <v>62</v>
      </c>
    </row>
    <row r="121" spans="1:2" ht="14.5" x14ac:dyDescent="0.35">
      <c r="A121" s="1"/>
      <c r="B121" s="1"/>
    </row>
    <row r="122" spans="1:2" ht="14.5" x14ac:dyDescent="0.35">
      <c r="A122" s="1"/>
      <c r="B122" s="8" t="s">
        <v>63</v>
      </c>
    </row>
    <row r="123" spans="1:2" ht="14.5" x14ac:dyDescent="0.35">
      <c r="A123" s="1"/>
      <c r="B123" s="8"/>
    </row>
    <row r="124" spans="1:2" ht="14.5" x14ac:dyDescent="0.35">
      <c r="A124" s="1"/>
      <c r="B124" s="8" t="s">
        <v>64</v>
      </c>
    </row>
    <row r="125" spans="1:2" ht="14.5" x14ac:dyDescent="0.35">
      <c r="A125" s="1"/>
      <c r="B125" s="1"/>
    </row>
    <row r="126" spans="1:2" ht="14.5" x14ac:dyDescent="0.35">
      <c r="A126" s="1"/>
      <c r="B126" s="8" t="s">
        <v>65</v>
      </c>
    </row>
  </sheetData>
  <hyperlinks>
    <hyperlink ref="B9" location="'Technical specifications'!A1" display="Technical specifications" xr:uid="{00000000-0004-0000-0000-000000000000}"/>
    <hyperlink ref="B12" location="'Table 2.1'!A1" tooltip="Table 2.1: Emergency department presentations, by public hospital peer group, 2019–20 to 2023–24" display="Table 2.1: Emergency department presentations, by public hospital peer group, 2019–20 to 2023–24" xr:uid="{00000000-0004-0000-0000-000001000000}"/>
    <hyperlink ref="B14" location="'Table 2.2'!A1" display="Table 2.2: Emergency department presentations, by state and territory, 2019–20 to 2023–24" xr:uid="{00000000-0004-0000-0000-000002000000}"/>
    <hyperlink ref="B16" location="'Table 2.3'!A1" display="Table 2.3: Emergency department presentations, by public hospital peer group, states and territories, 2023–24" xr:uid="{00000000-0004-0000-0000-000003000000}"/>
    <hyperlink ref="B19" location="'Table 3.1'!A1" display="Table 3.1: Emergency department presentations by age group and sex, states and territories, 2023–24" xr:uid="{00000000-0004-0000-0000-000004000000}"/>
    <hyperlink ref="B21" location="'Table 3.2'!A1" display="Table 3.2: Emergency department presentations by Indigenous status, states and territories, 2023–24" xr:uid="{00000000-0004-0000-0000-000005000000}"/>
    <hyperlink ref="B23" location="'Table 3.3'!A1" display="Table 3.3: Emergency department presentations by triage category and remoteness area of usual residence, 2023–24" xr:uid="{00000000-0004-0000-0000-000006000000}"/>
    <hyperlink ref="B25" location="'Table 3.4'!A1" display="Table 3.4: Emergency department presentations by triage category and socioeconomic status of patient’s area of usual residence, 2023–24" xr:uid="{00000000-0004-0000-0000-000007000000}"/>
    <hyperlink ref="B28" location="'Table 4.1'!A1" display="Table 4.1: Emergency department presentations by type of visit, states and territories, 2023–24" xr:uid="{00000000-0004-0000-0000-000008000000}"/>
    <hyperlink ref="B30" location="'Table 4.2'!A1" display="Table 4.2: Emergency department presentations, by triage category and arrival mode, states and territories, 2023–24" xr:uid="{00000000-0004-0000-0000-000009000000}"/>
    <hyperlink ref="B32" location="'Table 4.3'!A1" display="Table 4.3: Emergency department presentations by age group, sex and triage category, public hospital emergency departments, 2023–24" xr:uid="{00000000-0004-0000-0000-00000A000000}"/>
    <hyperlink ref="B34" location="'Table 4.4'!A1" display="Table 4.4: Proportion (%) of presentations by day of week and time of presentation, 2023–24" xr:uid="{00000000-0004-0000-0000-00000B000000}"/>
    <hyperlink ref="B36" location="'Table 4.5'!A1" display="Table 4.5: Emergency department presentations by principal diagnosis in ICD–10–AM chapters, states and territories, 2023–24" xr:uid="{00000000-0004-0000-0000-00000C000000}"/>
    <hyperlink ref="B38" location="'Table 4.6'!A1" display="Table 4.6: Emergency department presentations by principal diagnosis in ICD–10–AM chapters and triage category, 2023–24" xr:uid="{00000000-0004-0000-0000-00000D000000}"/>
    <hyperlink ref="B40" location="'Table 4.7'!A1" display="Table 4.7: Emergency department presentations by principal diagnosis in ICD–10–AM chapters, and admission status, 2023–24" xr:uid="{00000000-0004-0000-0000-00000E000000}"/>
    <hyperlink ref="B42" location="'Table 4.8'!A1" display="Table 4.8: Emergency department presentations by age group and principal diagnosis in ICD–10–AM chapters, public hospitals, 2023–24" xr:uid="{00000000-0004-0000-0000-00000F000000}"/>
    <hyperlink ref="B44" location="'Table 4.9'!A1" display="Table 4.9: The 20 most common principal diagnoses (3–character level) for emergency department presentations, states and territories, 2023–24" xr:uid="{00000000-0004-0000-0000-000010000000}"/>
    <hyperlink ref="B46" location="'Table 4.10'!A1" display="Table 4.10: The 20 most common principal diagnoses (3–character level) for patients who were subsequently admitted to the hospital, by triage category, 2023–24" xr:uid="{00000000-0004-0000-0000-000011000000}"/>
    <hyperlink ref="B48" location="'Table 4.11'!A1" display="Table 4.11: The 5 most common principal diagnoses in 3–character ICD–10–AM groupings by age group, public hospital emergency departments, 2023–24" xr:uid="{00000000-0004-0000-0000-000012000000}"/>
    <hyperlink ref="B50" location="'Table 4.12'!A1" display="Table 4.12: Emergency department presentations, by triage category and episode end status, 2023–24" xr:uid="{00000000-0004-0000-0000-000013000000}"/>
    <hyperlink ref="B52" location="'Table 4.13'!A1" display="Table 4.13: Emergency department presentations by episode end status, states and territories, 2023–24" xr:uid="{00000000-0004-0000-0000-000014000000}"/>
    <hyperlink ref="B54" location="'Table 4.14'!A1" display="Table 4.14: Proportion (%) of Emergency presentations with an episode end status of Admitted to this hospital, by triage category, states and territories, 2023–24" xr:uid="{00000000-0004-0000-0000-000015000000}"/>
    <hyperlink ref="B56" location="'Table 4.15'!A1" display="Table 4.15: Emergency department presentations by age group and episode end status, public hospital emergency departments, 2023–24" xr:uid="{00000000-0004-0000-0000-000016000000}"/>
    <hyperlink ref="B58" location="'Table 4.16'!A1" display="T_4_16" xr:uid="{00000000-0004-0000-0000-000017000000}"/>
    <hyperlink ref="B61" location="'Table 5.1'!A1" display="Table 5.1: Emergency presentation waiting time statistics, states and territories, 2019–20 to 2023–24" xr:uid="{00000000-0004-0000-0000-000018000000}"/>
    <hyperlink ref="B63" location="'Table 5.2'!A1" display="Table 5.2: Proportion (%) of Emergency presentations ending in admission by public hospital peer group and triage category, public hospital emergency departments, states and territories, 2023–24" xr:uid="{00000000-0004-0000-0000-000019000000}"/>
    <hyperlink ref="B65" location="'Table 5.3'!A1" display="Table 5.3: Proportion (%) of Emergency presentations seen on time, by triage category, states and territories, 2023–24 " xr:uid="{00000000-0004-0000-0000-00001A000000}"/>
    <hyperlink ref="B67" location="'Table 5.4'!A1" display="Table 5.4: Median waiting time for Emergency presentations, by remoteness of area of usual residence and triage category, 2023–24" xr:uid="{00000000-0004-0000-0000-00001B000000}"/>
    <hyperlink ref="B69" location="'Table 5.5'!A1" display="Table 5.5: Proportion (%) of Emergency presentations seen on time, by triage category and Indigenous status, states and territories, 2023–24" xr:uid="{00000000-0004-0000-0000-00001C000000}"/>
    <hyperlink ref="B71" location="'Table 5.6'!A1" display="Table 5.6: Median waiting time (minutes) for Emergency presentations, by Indigenous status and triage category, states and territories, 2023–24" xr:uid="{00000000-0004-0000-0000-00001D000000}"/>
    <hyperlink ref="B74" location="'Table 6.1'!A1" display="Table 6.1: Emergency department presentations 90th percentile length of emergency department stay by admission status, states and territories, 2019–20 to 2023–24" xr:uid="{00000000-0004-0000-0000-00001E000000}"/>
    <hyperlink ref="B76" location="'Table 6.2'!A1" display="Table 6.2: Emergency department presentations 90th percentile length of stay, by triage category and admission status, states and territories, 2023–24" xr:uid="{00000000-0004-0000-0000-00001F000000}"/>
    <hyperlink ref="B78" location="'Table 6.3'!A1" display="Table 6.3: Proportion (%) of presentations to emergency departments with a length of stay of 4 hours or less, for all patients and patients subsequently admitted, states and territories, 2019–20 to 2023–24" xr:uid="{00000000-0004-0000-0000-000020000000}"/>
    <hyperlink ref="B80" location="'Table 6.4'!A1" display="Table 6.4: Proportion (%) of presentations to emergency departments with a length of stay of 4 hours or less, by triage category and public hospital peer group, states and territories, 2023–24 " xr:uid="{00000000-0004-0000-0000-000021000000}"/>
    <hyperlink ref="B82" location="'Table 6.5'!A1" display="Table 6.5: Proportion (%) of presentations to emergency departments with a length of stay of 4 hours or less, for patients subsequently admitted to the hospital, by triage category and public hospital peer group, states and territories, 2023–24" xr:uid="{00000000-0004-0000-0000-000022000000}"/>
    <hyperlink ref="B84" location="'Table 6.6'!A1" display="Table 6.6: Proportion (%) of presentations to emergency departments with a length of stay of 4 hours or less for patients not subsequently admitted to the hospital, by triage category and public hospital peer group, states and territories, 2023–24" xr:uid="{00000000-0004-0000-0000-000023000000}"/>
    <hyperlink ref="B86" location="'Table 6.7'!A1" display="Table 6.7: Duration of clinical care statistics for Emergency presentations for patients subsequently admitted to this hospital by triage category, 2023–24" xr:uid="{00000000-0004-0000-0000-000024000000}"/>
    <hyperlink ref="B88" location="'Table 6.8'!A1" display="Table 6.8: Duration of clinical care statistics for Emergency presentations for patients not subsequently admitted to this hospital, by triage category, 2023–24" xr:uid="{00000000-0004-0000-0000-000025000000}"/>
    <hyperlink ref="B91" location="'Table A1'!A1" display="Table A1: Public hospital emergency departments, by state and territory, 2019–20 to 2023–24" xr:uid="{00000000-0004-0000-0000-000026000000}"/>
    <hyperlink ref="B93" location="'Table A2'!A1" display="Table A2: Public hospitals emergency departments, by public hospital peer group,2019–20 to 2023–24" xr:uid="{00000000-0004-0000-0000-000027000000}"/>
    <hyperlink ref="B95" location="'Table A3'!A1" display="Table A3: Public hospital emergency departments, by public hospital peer group, states and territories, 2023–24" xr:uid="{00000000-0004-0000-0000-000028000000}"/>
    <hyperlink ref="B97" location="'Table A4'!A1" display="Table A4: Proportion (%) of Emergency presentations by triage category, states and territories, 2023–24" xr:uid="{00000000-0004-0000-0000-000029000000}"/>
    <hyperlink ref="B100" location="'Table S3.1'!A1" display="Table S3.1: Presentations per 1,000 population by sex and age, crude rates, states and territories, 2023–24" xr:uid="{00000000-0004-0000-0000-00002A000000}"/>
    <hyperlink ref="B102" location="'Table S3.2'!A1" display="Table S3.2: Presentations per 1,000 population by Indigenous status and age, crude rates, states and territories, 2023–24" xr:uid="{00000000-0004-0000-0000-00002B000000}"/>
    <hyperlink ref="B104" location="'Table S4.1'!A1" display="Table S4.1: Emergency department presentations by emergency care category, states and territories, 2023–24" xr:uid="{00000000-0004-0000-0000-00002C000000}"/>
    <hyperlink ref="B106" location="'Table S4.2'!A1" display="Table S4.2: Emergency department presentations by complexity splits (AECC level 3) and triage category, 2023–24" xr:uid="{00000000-0004-0000-0000-00002D000000}"/>
    <hyperlink ref="B108" location="'Table S4.3'!A1" display="Table S4.3: Emergency department presentations by complexity splits (AECC level 3) and admission status, 2023–24" xr:uid="{00000000-0004-0000-0000-00002E000000}"/>
    <hyperlink ref="B110" location="'Table S4.4'!A1" display="Table S4.4: Emergency presentations, by hour of presentation and triage category, 2023–24" xr:uid="{00000000-0004-0000-0000-00002F000000}"/>
    <hyperlink ref="B112" location="'Table S4.5'!A1" display="Table S4.5: Proportion (%) of Emergency presentations, by hour of presentation for each triage category, 2023–24" xr:uid="{00000000-0004-0000-0000-000030000000}"/>
    <hyperlink ref="B114" location="'Table S5.1'!A1" display="Table S5.1: Emergency presentation statistics by public hospital peer group and triage category, public hospital emergency departments, states and territories, 2023–24" xr:uid="{00000000-0004-0000-0000-000031000000}"/>
    <hyperlink ref="B116" location="'Table S5.2'!A1" display="Table S5.2: Proportion (%) of Emergency presentations seen on time, by triage category and remoteness of usual residence, states and territories, 2023–24" xr:uid="{00000000-0004-0000-0000-000032000000}"/>
    <hyperlink ref="B118" location="'Table S5.3'!A1" display="Table S5.3: Proportion of Emergency presentations seen on time, by triage category and socioeconomic status of usual residence, public hospital emergency departments, states and territories, 2023–24" xr:uid="{00000000-0004-0000-0000-000033000000}"/>
    <hyperlink ref="B120" location="'Table S6.1'!A1" display="Table S6.1: Emergency department presentations median length of emergency department stay by admission status, states and territories,2019–20 to 2023–24" xr:uid="{00000000-0004-0000-0000-000034000000}"/>
    <hyperlink ref="B122" location="'Table S6.2'!A1" display="Table S6.2: Emergency department presentations median length of stay, by triage category and admission status, states and territories, 2023–24" xr:uid="{00000000-0004-0000-0000-000035000000}"/>
    <hyperlink ref="B124" location="'Table S6.3'!A1" display="Table S6.3: Proportion (%) of presentations to emergency departments with a length of stay of 4, 6, 8 or 12 hours or less, by admission status, 2023–24" xr:uid="{00000000-0004-0000-0000-000036000000}"/>
    <hyperlink ref="B126" location="'Table S6.4'!A1" display="T_S6_04" xr:uid="{00000000-0004-0000-0000-000037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350"/>
  <sheetViews>
    <sheetView showGridLines="0" zoomScaleNormal="100" workbookViewId="0">
      <selection activeCell="B2" sqref="B2:C2"/>
    </sheetView>
  </sheetViews>
  <sheetFormatPr defaultColWidth="9.08984375" defaultRowHeight="14.75" customHeight="1" x14ac:dyDescent="0.35"/>
  <cols>
    <col min="1" max="1" width="3.26953125" customWidth="1"/>
    <col min="2" max="2" width="9.08984375" customWidth="1"/>
    <col min="3" max="3" width="118" customWidth="1"/>
    <col min="4" max="5" width="9.08984375" customWidth="1"/>
  </cols>
  <sheetData>
    <row r="1" spans="1:3" ht="14.5" x14ac:dyDescent="0.35">
      <c r="A1" s="1"/>
      <c r="B1" s="4"/>
      <c r="C1" s="1"/>
    </row>
    <row r="2" spans="1:3" ht="17.25" customHeight="1" x14ac:dyDescent="0.4">
      <c r="A2" s="1"/>
      <c r="B2" s="90" t="s">
        <v>66</v>
      </c>
      <c r="C2" s="79"/>
    </row>
    <row r="3" spans="1:3" ht="14.5" x14ac:dyDescent="0.35">
      <c r="A3" s="1"/>
      <c r="B3" s="4"/>
      <c r="C3" s="1"/>
    </row>
    <row r="4" spans="1:3" ht="14.5" x14ac:dyDescent="0.35">
      <c r="A4" s="1"/>
      <c r="B4" s="4" t="s">
        <v>67</v>
      </c>
      <c r="C4" s="1"/>
    </row>
    <row r="5" spans="1:3" ht="14.5" x14ac:dyDescent="0.35">
      <c r="A5" s="1"/>
      <c r="B5" s="5" t="s">
        <v>68</v>
      </c>
      <c r="C5" s="1"/>
    </row>
    <row r="6" spans="1:3" ht="14.5" x14ac:dyDescent="0.35">
      <c r="A6" s="1"/>
      <c r="B6" s="19" t="s">
        <v>69</v>
      </c>
      <c r="C6" s="25"/>
    </row>
    <row r="7" spans="1:3" ht="14.5" x14ac:dyDescent="0.35">
      <c r="A7" s="1"/>
      <c r="B7" s="91" t="s">
        <v>70</v>
      </c>
      <c r="C7" s="79"/>
    </row>
    <row r="8" spans="1:3" ht="14.5" x14ac:dyDescent="0.35">
      <c r="A8" s="1"/>
      <c r="B8" s="19" t="s">
        <v>71</v>
      </c>
      <c r="C8" s="25"/>
    </row>
    <row r="9" spans="1:3" ht="14.5" x14ac:dyDescent="0.35">
      <c r="A9" s="1"/>
      <c r="B9" s="91" t="s">
        <v>72</v>
      </c>
      <c r="C9" s="79"/>
    </row>
    <row r="10" spans="1:3" ht="14.5" x14ac:dyDescent="0.35">
      <c r="A10" s="1"/>
      <c r="B10" s="5"/>
      <c r="C10" s="1"/>
    </row>
    <row r="11" spans="1:3" ht="14.5" x14ac:dyDescent="0.35">
      <c r="A11" s="1"/>
      <c r="B11" s="4" t="s">
        <v>73</v>
      </c>
      <c r="C11" s="1"/>
    </row>
    <row r="12" spans="1:3" ht="14.5" x14ac:dyDescent="0.35">
      <c r="A12" s="1"/>
      <c r="B12" s="5" t="s">
        <v>74</v>
      </c>
      <c r="C12" s="1"/>
    </row>
    <row r="13" spans="1:3" ht="14.5" x14ac:dyDescent="0.35">
      <c r="A13" s="1"/>
      <c r="B13" s="25" t="s">
        <v>75</v>
      </c>
      <c r="C13" s="1"/>
    </row>
    <row r="14" spans="1:3" ht="14.5" x14ac:dyDescent="0.35">
      <c r="A14" s="1"/>
      <c r="B14" s="11" t="s">
        <v>76</v>
      </c>
      <c r="C14" s="1"/>
    </row>
    <row r="15" spans="1:3" ht="14.5" x14ac:dyDescent="0.35">
      <c r="A15" s="1"/>
      <c r="B15" s="11" t="s">
        <v>77</v>
      </c>
      <c r="C15" s="1"/>
    </row>
    <row r="16" spans="1:3" ht="14.5" x14ac:dyDescent="0.35">
      <c r="A16" s="1"/>
      <c r="B16" s="11" t="s">
        <v>78</v>
      </c>
      <c r="C16" s="1"/>
    </row>
    <row r="17" spans="1:3" ht="14.5" x14ac:dyDescent="0.35">
      <c r="A17" s="1"/>
      <c r="B17" s="11" t="s">
        <v>79</v>
      </c>
      <c r="C17" s="1"/>
    </row>
    <row r="18" spans="1:3" ht="14.5" x14ac:dyDescent="0.35">
      <c r="A18" s="1"/>
      <c r="B18" s="11" t="s">
        <v>80</v>
      </c>
      <c r="C18" s="1"/>
    </row>
    <row r="19" spans="1:3" ht="14.5" x14ac:dyDescent="0.35">
      <c r="A19" s="1"/>
      <c r="B19" s="5" t="s">
        <v>81</v>
      </c>
      <c r="C19" s="1"/>
    </row>
    <row r="20" spans="1:3" ht="14.5" x14ac:dyDescent="0.35">
      <c r="A20" s="1"/>
      <c r="B20" s="31" t="s">
        <v>82</v>
      </c>
      <c r="C20" s="1"/>
    </row>
    <row r="21" spans="1:3" ht="14.5" x14ac:dyDescent="0.35">
      <c r="A21" s="1"/>
      <c r="B21" s="5" t="s">
        <v>83</v>
      </c>
      <c r="C21" s="1"/>
    </row>
    <row r="22" spans="1:3" ht="14.5" x14ac:dyDescent="0.35">
      <c r="A22" s="1"/>
      <c r="B22" s="30" t="s">
        <v>84</v>
      </c>
      <c r="C22" s="8" t="s">
        <v>85</v>
      </c>
    </row>
    <row r="23" spans="1:3" ht="14.5" x14ac:dyDescent="0.35">
      <c r="A23" s="1"/>
      <c r="B23" s="5"/>
      <c r="C23" s="1"/>
    </row>
    <row r="24" spans="1:3" ht="14.5" x14ac:dyDescent="0.35">
      <c r="A24" s="1"/>
      <c r="B24" s="4" t="s">
        <v>86</v>
      </c>
      <c r="C24" s="1"/>
    </row>
    <row r="25" spans="1:3" ht="14.5" x14ac:dyDescent="0.35">
      <c r="A25" s="1"/>
      <c r="B25" s="5" t="s">
        <v>87</v>
      </c>
      <c r="C25" s="8"/>
    </row>
    <row r="26" spans="1:3" ht="14.5" x14ac:dyDescent="0.35">
      <c r="A26" s="1"/>
      <c r="B26" s="11" t="s">
        <v>88</v>
      </c>
      <c r="C26" s="8"/>
    </row>
    <row r="27" spans="1:3" ht="14.5" x14ac:dyDescent="0.35">
      <c r="A27" s="1"/>
      <c r="B27" s="11" t="s">
        <v>89</v>
      </c>
      <c r="C27" s="8"/>
    </row>
    <row r="28" spans="1:3" ht="14.5" x14ac:dyDescent="0.35">
      <c r="A28" s="1"/>
      <c r="B28" s="11" t="s">
        <v>90</v>
      </c>
      <c r="C28" s="8"/>
    </row>
    <row r="29" spans="1:3" ht="14.5" x14ac:dyDescent="0.35">
      <c r="A29" s="1"/>
      <c r="B29" s="11" t="s">
        <v>91</v>
      </c>
      <c r="C29" s="8"/>
    </row>
    <row r="30" spans="1:3" ht="14.5" x14ac:dyDescent="0.35">
      <c r="A30" s="1"/>
      <c r="B30" s="11" t="s">
        <v>92</v>
      </c>
      <c r="C30" s="1"/>
    </row>
    <row r="31" spans="1:3" ht="14.5" x14ac:dyDescent="0.35">
      <c r="A31" s="1"/>
      <c r="B31" s="5"/>
      <c r="C31" s="1"/>
    </row>
    <row r="32" spans="1:3" ht="14.5" x14ac:dyDescent="0.35">
      <c r="A32" s="1"/>
      <c r="B32" s="4" t="s">
        <v>93</v>
      </c>
      <c r="C32" s="1"/>
    </row>
    <row r="33" spans="1:3" ht="14.5" x14ac:dyDescent="0.35">
      <c r="A33" s="1"/>
      <c r="B33" s="6" t="s">
        <v>94</v>
      </c>
      <c r="C33" s="1"/>
    </row>
    <row r="34" spans="1:3" ht="43.5" customHeight="1" x14ac:dyDescent="0.35">
      <c r="A34" s="1"/>
      <c r="B34" s="82" t="s">
        <v>95</v>
      </c>
      <c r="C34" s="79"/>
    </row>
    <row r="35" spans="1:3" ht="14.5" x14ac:dyDescent="0.35">
      <c r="A35" s="1"/>
      <c r="B35" s="30" t="s">
        <v>96</v>
      </c>
      <c r="C35" s="1"/>
    </row>
    <row r="36" spans="1:3" ht="14.5" x14ac:dyDescent="0.35">
      <c r="A36" s="1"/>
      <c r="B36" s="7"/>
      <c r="C36" s="8"/>
    </row>
    <row r="37" spans="1:3" ht="14.5" x14ac:dyDescent="0.35">
      <c r="A37" s="1"/>
      <c r="B37" s="4" t="s">
        <v>97</v>
      </c>
      <c r="C37" s="1"/>
    </row>
    <row r="38" spans="1:3" ht="29.4" customHeight="1" x14ac:dyDescent="0.35">
      <c r="A38" s="1"/>
      <c r="B38" s="82" t="s">
        <v>98</v>
      </c>
      <c r="C38" s="79"/>
    </row>
    <row r="39" spans="1:3" ht="14.5" x14ac:dyDescent="0.35">
      <c r="A39" s="1"/>
      <c r="B39" s="7"/>
      <c r="C39" s="8"/>
    </row>
    <row r="40" spans="1:3" ht="14.5" x14ac:dyDescent="0.35">
      <c r="A40" s="1"/>
      <c r="B40" s="4" t="s">
        <v>99</v>
      </c>
      <c r="C40" s="1"/>
    </row>
    <row r="41" spans="1:3" ht="14.5" x14ac:dyDescent="0.35">
      <c r="A41" s="1"/>
      <c r="B41" s="82" t="s">
        <v>100</v>
      </c>
      <c r="C41" s="79"/>
    </row>
    <row r="42" spans="1:3" ht="14.5" x14ac:dyDescent="0.35">
      <c r="A42" s="1"/>
      <c r="B42" s="5"/>
      <c r="C42" s="1"/>
    </row>
    <row r="43" spans="1:3" ht="14.5" x14ac:dyDescent="0.35">
      <c r="A43" s="1"/>
      <c r="B43" s="4" t="s">
        <v>101</v>
      </c>
      <c r="C43" s="1"/>
    </row>
    <row r="44" spans="1:3" ht="30" customHeight="1" x14ac:dyDescent="0.35">
      <c r="A44" s="1"/>
      <c r="B44" s="82" t="s">
        <v>102</v>
      </c>
      <c r="C44" s="79"/>
    </row>
    <row r="45" spans="1:3" ht="15" customHeight="1" x14ac:dyDescent="0.35">
      <c r="A45" s="1"/>
      <c r="B45" s="12" t="s">
        <v>103</v>
      </c>
      <c r="C45" s="15"/>
    </row>
    <row r="46" spans="1:3" ht="15" customHeight="1" x14ac:dyDescent="0.35">
      <c r="A46" s="1"/>
      <c r="B46" s="12" t="s">
        <v>104</v>
      </c>
      <c r="C46" s="15"/>
    </row>
    <row r="47" spans="1:3" ht="15" customHeight="1" x14ac:dyDescent="0.35">
      <c r="A47" s="1"/>
      <c r="B47" s="12" t="s">
        <v>105</v>
      </c>
      <c r="C47" s="15"/>
    </row>
    <row r="48" spans="1:3" ht="15" customHeight="1" x14ac:dyDescent="0.35">
      <c r="A48" s="1"/>
      <c r="B48" s="12" t="s">
        <v>106</v>
      </c>
      <c r="C48" s="15"/>
    </row>
    <row r="49" spans="1:3" ht="15" customHeight="1" x14ac:dyDescent="0.35">
      <c r="A49" s="1"/>
      <c r="B49" s="12" t="s">
        <v>107</v>
      </c>
      <c r="C49" s="15"/>
    </row>
    <row r="50" spans="1:3" ht="15" customHeight="1" x14ac:dyDescent="0.35">
      <c r="A50" s="1"/>
      <c r="B50" s="32" t="s">
        <v>108</v>
      </c>
      <c r="C50" s="15"/>
    </row>
    <row r="51" spans="1:3" ht="14.5" x14ac:dyDescent="0.35">
      <c r="A51" s="1"/>
      <c r="B51" s="7"/>
      <c r="C51" s="8"/>
    </row>
    <row r="52" spans="1:3" ht="14.5" x14ac:dyDescent="0.35">
      <c r="A52" s="1"/>
      <c r="B52" s="4" t="s">
        <v>109</v>
      </c>
      <c r="C52" s="1"/>
    </row>
    <row r="53" spans="1:3" ht="27" customHeight="1" x14ac:dyDescent="0.35">
      <c r="A53" s="1"/>
      <c r="B53" s="82" t="s">
        <v>110</v>
      </c>
      <c r="C53" s="79"/>
    </row>
    <row r="54" spans="1:3" ht="14.5" x14ac:dyDescent="0.35">
      <c r="A54" s="1"/>
      <c r="B54" s="5"/>
      <c r="C54" s="1"/>
    </row>
    <row r="55" spans="1:3" ht="14.5" x14ac:dyDescent="0.35">
      <c r="A55" s="1"/>
      <c r="B55" s="26" t="s">
        <v>111</v>
      </c>
      <c r="C55" s="1"/>
    </row>
    <row r="56" spans="1:3" ht="14.5" x14ac:dyDescent="0.35">
      <c r="A56" s="1"/>
      <c r="B56" s="93" t="s">
        <v>112</v>
      </c>
      <c r="C56" s="79"/>
    </row>
    <row r="57" spans="1:3" ht="14.75" customHeight="1" x14ac:dyDescent="0.35">
      <c r="A57" s="1"/>
      <c r="B57" s="5" t="s">
        <v>113</v>
      </c>
      <c r="C57" s="28"/>
    </row>
    <row r="58" spans="1:3" ht="14.75" customHeight="1" x14ac:dyDescent="0.35">
      <c r="A58" s="1"/>
      <c r="B58" s="5" t="s">
        <v>114</v>
      </c>
      <c r="C58" s="28"/>
    </row>
    <row r="59" spans="1:3" ht="14.75" customHeight="1" x14ac:dyDescent="0.35">
      <c r="A59" s="1"/>
      <c r="B59" s="5" t="s">
        <v>115</v>
      </c>
      <c r="C59" s="28"/>
    </row>
    <row r="60" spans="1:3" ht="14.75" customHeight="1" x14ac:dyDescent="0.35">
      <c r="A60" s="1"/>
      <c r="B60" s="5" t="s">
        <v>116</v>
      </c>
      <c r="C60" s="28"/>
    </row>
    <row r="61" spans="1:3" ht="14.75" customHeight="1" x14ac:dyDescent="0.35">
      <c r="A61" s="1"/>
      <c r="B61" s="5" t="s">
        <v>117</v>
      </c>
      <c r="C61" s="28"/>
    </row>
    <row r="62" spans="1:3" ht="14.75" customHeight="1" x14ac:dyDescent="0.35">
      <c r="A62" s="1"/>
      <c r="B62" s="5" t="s">
        <v>118</v>
      </c>
      <c r="C62" s="28"/>
    </row>
    <row r="63" spans="1:3" ht="14.75" customHeight="1" x14ac:dyDescent="0.35">
      <c r="A63" s="1"/>
      <c r="B63" s="5" t="s">
        <v>119</v>
      </c>
      <c r="C63" s="28"/>
    </row>
    <row r="64" spans="1:3" ht="14.75" customHeight="1" x14ac:dyDescent="0.35">
      <c r="A64" s="1"/>
      <c r="B64" s="5" t="s">
        <v>120</v>
      </c>
      <c r="C64" s="28"/>
    </row>
    <row r="65" spans="1:3" ht="14.5" x14ac:dyDescent="0.35">
      <c r="A65" s="1"/>
      <c r="B65" s="91" t="s">
        <v>121</v>
      </c>
      <c r="C65" s="79"/>
    </row>
    <row r="66" spans="1:3" ht="14.5" x14ac:dyDescent="0.35">
      <c r="A66" s="1"/>
      <c r="B66" s="5"/>
      <c r="C66" s="1"/>
    </row>
    <row r="67" spans="1:3" ht="14.5" x14ac:dyDescent="0.35">
      <c r="A67" s="1"/>
      <c r="B67" s="26" t="s">
        <v>122</v>
      </c>
      <c r="C67" s="1"/>
    </row>
    <row r="68" spans="1:3" ht="27.75" customHeight="1" x14ac:dyDescent="0.35">
      <c r="A68" s="1"/>
      <c r="B68" s="93" t="s">
        <v>123</v>
      </c>
      <c r="C68" s="79"/>
    </row>
    <row r="69" spans="1:3" ht="14.5" x14ac:dyDescent="0.35">
      <c r="A69" s="1"/>
      <c r="B69" s="33" t="s">
        <v>124</v>
      </c>
      <c r="C69" s="1"/>
    </row>
    <row r="70" spans="1:3" ht="14.5" x14ac:dyDescent="0.35">
      <c r="A70" s="1"/>
      <c r="B70" s="33" t="s">
        <v>125</v>
      </c>
      <c r="C70" s="8"/>
    </row>
    <row r="71" spans="1:3" ht="14.5" x14ac:dyDescent="0.35">
      <c r="A71" s="1"/>
      <c r="B71" s="5"/>
      <c r="C71" s="1"/>
    </row>
    <row r="72" spans="1:3" ht="14.5" x14ac:dyDescent="0.35">
      <c r="A72" s="1"/>
      <c r="B72" s="26" t="s">
        <v>126</v>
      </c>
      <c r="C72" s="1"/>
    </row>
    <row r="73" spans="1:3" ht="44.25" customHeight="1" x14ac:dyDescent="0.35">
      <c r="A73" s="1"/>
      <c r="B73" s="93" t="s">
        <v>127</v>
      </c>
      <c r="C73" s="79"/>
    </row>
    <row r="74" spans="1:3" ht="14.5" x14ac:dyDescent="0.35">
      <c r="A74" s="1"/>
      <c r="B74" s="33" t="s">
        <v>128</v>
      </c>
      <c r="C74" s="8"/>
    </row>
    <row r="75" spans="1:3" ht="15.5" customHeight="1" x14ac:dyDescent="0.35">
      <c r="A75" s="1"/>
      <c r="B75" s="9"/>
      <c r="C75" s="1"/>
    </row>
    <row r="76" spans="1:3" ht="14.5" x14ac:dyDescent="0.35">
      <c r="A76" s="1"/>
      <c r="B76" s="26" t="s">
        <v>129</v>
      </c>
      <c r="C76" s="1"/>
    </row>
    <row r="77" spans="1:3" ht="14.75" customHeight="1" x14ac:dyDescent="0.35">
      <c r="A77" s="1"/>
      <c r="B77" s="10" t="s">
        <v>130</v>
      </c>
      <c r="C77" s="10"/>
    </row>
    <row r="78" spans="1:3" ht="14.5" x14ac:dyDescent="0.35">
      <c r="A78" s="1"/>
      <c r="B78" s="33" t="s">
        <v>131</v>
      </c>
      <c r="C78" s="1"/>
    </row>
    <row r="79" spans="1:3" ht="42.5" customHeight="1" x14ac:dyDescent="0.35">
      <c r="A79" s="1"/>
      <c r="B79" s="92" t="s">
        <v>132</v>
      </c>
      <c r="C79" s="79"/>
    </row>
    <row r="80" spans="1:3" ht="14.5" x14ac:dyDescent="0.35">
      <c r="A80" s="1"/>
      <c r="B80" s="5"/>
      <c r="C80" s="1"/>
    </row>
    <row r="81" spans="1:3" ht="14.5" x14ac:dyDescent="0.35">
      <c r="A81" s="1"/>
      <c r="B81" s="26" t="s">
        <v>133</v>
      </c>
      <c r="C81" s="1"/>
    </row>
    <row r="82" spans="1:3" ht="14.5" x14ac:dyDescent="0.35">
      <c r="A82" s="1"/>
      <c r="B82" s="10" t="s">
        <v>134</v>
      </c>
      <c r="C82" s="1"/>
    </row>
    <row r="83" spans="1:3" ht="14.5" x14ac:dyDescent="0.35">
      <c r="A83" s="1"/>
      <c r="B83" s="33" t="s">
        <v>135</v>
      </c>
      <c r="C83" s="8"/>
    </row>
    <row r="84" spans="1:3" ht="14.5" x14ac:dyDescent="0.35">
      <c r="A84" s="1"/>
      <c r="B84" s="5"/>
      <c r="C84" s="1"/>
    </row>
    <row r="85" spans="1:3" ht="14.5" x14ac:dyDescent="0.35">
      <c r="A85" s="1"/>
      <c r="B85" s="27" t="s">
        <v>136</v>
      </c>
      <c r="C85" s="1"/>
    </row>
    <row r="86" spans="1:3" ht="27" customHeight="1" x14ac:dyDescent="0.35">
      <c r="A86" s="1"/>
      <c r="B86" s="92" t="s">
        <v>137</v>
      </c>
      <c r="C86" s="79"/>
    </row>
    <row r="87" spans="1:3" ht="14.5" x14ac:dyDescent="0.35">
      <c r="A87" s="1"/>
      <c r="B87" s="83" t="s">
        <v>138</v>
      </c>
      <c r="C87" s="79"/>
    </row>
    <row r="88" spans="1:3" ht="14.5" x14ac:dyDescent="0.35">
      <c r="A88" s="1"/>
      <c r="B88" s="20"/>
      <c r="C88" s="21"/>
    </row>
    <row r="89" spans="1:3" ht="14.5" x14ac:dyDescent="0.35">
      <c r="A89" s="1"/>
      <c r="B89" s="26" t="s">
        <v>139</v>
      </c>
      <c r="C89" s="1"/>
    </row>
    <row r="90" spans="1:3" ht="15" customHeight="1" x14ac:dyDescent="0.35">
      <c r="A90" s="1"/>
      <c r="B90" s="93" t="s">
        <v>140</v>
      </c>
      <c r="C90" s="79"/>
    </row>
    <row r="91" spans="1:3" ht="14.5" x14ac:dyDescent="0.35">
      <c r="A91" s="1"/>
      <c r="B91" s="83" t="s">
        <v>141</v>
      </c>
      <c r="C91" s="79"/>
    </row>
    <row r="92" spans="1:3" ht="14.5" x14ac:dyDescent="0.35">
      <c r="A92" s="1"/>
      <c r="B92" s="7"/>
      <c r="C92" s="8"/>
    </row>
    <row r="93" spans="1:3" ht="14.5" x14ac:dyDescent="0.35">
      <c r="A93" s="1"/>
      <c r="B93" s="26" t="s">
        <v>142</v>
      </c>
      <c r="C93" s="1"/>
    </row>
    <row r="94" spans="1:3" ht="14.5" x14ac:dyDescent="0.35">
      <c r="A94" s="1"/>
      <c r="B94" s="23" t="s">
        <v>143</v>
      </c>
      <c r="C94" s="1"/>
    </row>
    <row r="95" spans="1:3" ht="14.5" x14ac:dyDescent="0.35">
      <c r="A95" s="1"/>
      <c r="B95" s="24" t="s">
        <v>144</v>
      </c>
      <c r="C95" s="1"/>
    </row>
    <row r="96" spans="1:3" ht="14.5" x14ac:dyDescent="0.35">
      <c r="A96" s="1"/>
      <c r="B96" s="24" t="s">
        <v>145</v>
      </c>
      <c r="C96" s="1"/>
    </row>
    <row r="97" spans="1:3" ht="14.5" x14ac:dyDescent="0.35">
      <c r="A97" s="1"/>
      <c r="B97" s="24" t="s">
        <v>146</v>
      </c>
      <c r="C97" s="1"/>
    </row>
    <row r="98" spans="1:3" ht="14.5" x14ac:dyDescent="0.35">
      <c r="A98" s="1"/>
      <c r="B98" s="84" t="s">
        <v>147</v>
      </c>
      <c r="C98" s="79"/>
    </row>
    <row r="99" spans="1:3" ht="14.5" x14ac:dyDescent="0.35">
      <c r="A99" s="1"/>
      <c r="B99" s="20"/>
      <c r="C99" s="20"/>
    </row>
    <row r="100" spans="1:3" ht="14.5" x14ac:dyDescent="0.35">
      <c r="A100" s="1"/>
      <c r="B100" s="4" t="s">
        <v>148</v>
      </c>
      <c r="C100" s="20"/>
    </row>
    <row r="101" spans="1:3" ht="14.5" x14ac:dyDescent="0.35">
      <c r="A101" s="1"/>
      <c r="B101" s="5" t="s">
        <v>149</v>
      </c>
      <c r="C101" s="20"/>
    </row>
    <row r="102" spans="1:3" ht="14.5" x14ac:dyDescent="0.35">
      <c r="A102" s="1"/>
      <c r="B102" s="5" t="s">
        <v>150</v>
      </c>
      <c r="C102" s="20"/>
    </row>
    <row r="103" spans="1:3" ht="14.5" x14ac:dyDescent="0.35">
      <c r="A103" s="1"/>
      <c r="B103" s="31" t="s">
        <v>82</v>
      </c>
      <c r="C103" s="20"/>
    </row>
    <row r="104" spans="1:3" ht="14.5" x14ac:dyDescent="0.35">
      <c r="A104" s="1"/>
      <c r="B104" s="1"/>
      <c r="C104" s="20"/>
    </row>
    <row r="105" spans="1:3" ht="14.5" x14ac:dyDescent="0.35">
      <c r="A105" s="1"/>
      <c r="B105" s="4" t="s">
        <v>151</v>
      </c>
      <c r="C105" s="29"/>
    </row>
    <row r="106" spans="1:3" ht="14.5" x14ac:dyDescent="0.35">
      <c r="A106" s="1"/>
      <c r="B106" s="86" t="s">
        <v>152</v>
      </c>
      <c r="C106" s="79"/>
    </row>
    <row r="107" spans="1:3" ht="27.9" customHeight="1" x14ac:dyDescent="0.35">
      <c r="A107" s="1"/>
      <c r="B107" s="85" t="s">
        <v>153</v>
      </c>
      <c r="C107" s="79"/>
    </row>
    <row r="108" spans="1:3" ht="14.5" x14ac:dyDescent="0.35">
      <c r="A108" s="1"/>
      <c r="B108" s="86" t="s">
        <v>154</v>
      </c>
      <c r="C108" s="79"/>
    </row>
    <row r="109" spans="1:3" ht="29" customHeight="1" x14ac:dyDescent="0.35">
      <c r="A109" s="1"/>
      <c r="B109" s="86" t="s">
        <v>155</v>
      </c>
      <c r="C109" s="79"/>
    </row>
    <row r="110" spans="1:3" ht="14.5" x14ac:dyDescent="0.35">
      <c r="A110" s="1"/>
      <c r="B110" s="86" t="s">
        <v>156</v>
      </c>
      <c r="C110" s="79"/>
    </row>
    <row r="111" spans="1:3" ht="29" customHeight="1" x14ac:dyDescent="0.35">
      <c r="A111" s="1"/>
      <c r="B111" s="85" t="s">
        <v>157</v>
      </c>
      <c r="C111" s="79"/>
    </row>
    <row r="112" spans="1:3" ht="14.5" x14ac:dyDescent="0.35">
      <c r="A112" s="1"/>
      <c r="B112" s="1"/>
      <c r="C112" s="29"/>
    </row>
    <row r="113" spans="1:3" ht="14.5" x14ac:dyDescent="0.35">
      <c r="A113" s="1"/>
      <c r="B113" s="4" t="s">
        <v>158</v>
      </c>
      <c r="C113" s="29"/>
    </row>
    <row r="114" spans="1:3" ht="14.5" x14ac:dyDescent="0.35">
      <c r="A114" s="1"/>
      <c r="B114" s="86" t="s">
        <v>159</v>
      </c>
      <c r="C114" s="79"/>
    </row>
    <row r="115" spans="1:3" ht="14.5" x14ac:dyDescent="0.35">
      <c r="A115" s="1"/>
      <c r="B115" s="1"/>
      <c r="C115" s="29"/>
    </row>
    <row r="116" spans="1:3" ht="14.5" x14ac:dyDescent="0.35">
      <c r="A116" s="1"/>
      <c r="B116" s="26" t="s">
        <v>160</v>
      </c>
      <c r="C116" s="1"/>
    </row>
    <row r="117" spans="1:3" ht="14.5" x14ac:dyDescent="0.35">
      <c r="A117" s="1"/>
      <c r="B117" s="23" t="s">
        <v>161</v>
      </c>
      <c r="C117" s="1"/>
    </row>
    <row r="118" spans="1:3" ht="14.5" x14ac:dyDescent="0.35">
      <c r="A118" s="1"/>
      <c r="B118" s="88" t="s">
        <v>162</v>
      </c>
      <c r="C118" s="79"/>
    </row>
    <row r="119" spans="1:3" ht="14.5" x14ac:dyDescent="0.35">
      <c r="A119" s="1"/>
      <c r="B119" s="20"/>
      <c r="C119" s="20"/>
    </row>
    <row r="120" spans="1:3" ht="15.75" customHeight="1" x14ac:dyDescent="0.35">
      <c r="A120" s="1"/>
      <c r="B120" s="9" t="s">
        <v>163</v>
      </c>
      <c r="C120" s="1"/>
    </row>
    <row r="121" spans="1:3" ht="14.5" x14ac:dyDescent="0.35">
      <c r="A121" s="1"/>
      <c r="B121" s="6"/>
      <c r="C121" s="1"/>
    </row>
    <row r="122" spans="1:3" ht="14.5" x14ac:dyDescent="0.35">
      <c r="A122" s="1"/>
      <c r="B122" s="6" t="s">
        <v>164</v>
      </c>
      <c r="C122" s="1" t="s">
        <v>165</v>
      </c>
    </row>
    <row r="123" spans="1:3" ht="14.5" x14ac:dyDescent="0.35">
      <c r="A123" s="1"/>
      <c r="B123" s="6" t="s">
        <v>166</v>
      </c>
      <c r="C123" s="1" t="s">
        <v>167</v>
      </c>
    </row>
    <row r="124" spans="1:3" ht="14.5" x14ac:dyDescent="0.35">
      <c r="A124" s="1"/>
      <c r="B124" s="20"/>
      <c r="C124" s="21"/>
    </row>
    <row r="125" spans="1:3" ht="14.5" x14ac:dyDescent="0.35">
      <c r="A125" s="1"/>
      <c r="B125" s="20"/>
      <c r="C125" s="21"/>
    </row>
    <row r="126" spans="1:3" ht="15.5" customHeight="1" x14ac:dyDescent="0.35">
      <c r="A126" s="1"/>
      <c r="B126" s="22" t="s">
        <v>168</v>
      </c>
      <c r="C126" s="21"/>
    </row>
    <row r="127" spans="1:3" ht="14.5" x14ac:dyDescent="0.35">
      <c r="A127" s="1"/>
      <c r="B127" s="5"/>
      <c r="C127" s="1"/>
    </row>
    <row r="128" spans="1:3" ht="14.5" x14ac:dyDescent="0.35">
      <c r="A128" s="1"/>
      <c r="B128" s="3" t="s">
        <v>5</v>
      </c>
      <c r="C128" s="1"/>
    </row>
    <row r="129" spans="1:3" ht="14.5" x14ac:dyDescent="0.35">
      <c r="A129" s="1"/>
      <c r="B129" s="5" t="s">
        <v>169</v>
      </c>
      <c r="C129" s="1"/>
    </row>
    <row r="130" spans="1:3" ht="14.5" x14ac:dyDescent="0.35">
      <c r="A130" s="1"/>
      <c r="B130" s="5" t="s">
        <v>170</v>
      </c>
      <c r="C130" s="1"/>
    </row>
    <row r="131" spans="1:3" ht="14.5" x14ac:dyDescent="0.35">
      <c r="A131" s="1"/>
      <c r="B131" s="5"/>
      <c r="C131" s="1"/>
    </row>
    <row r="132" spans="1:3" ht="14.5" x14ac:dyDescent="0.35">
      <c r="A132" s="1"/>
      <c r="B132" s="3" t="s">
        <v>6</v>
      </c>
      <c r="C132" s="1"/>
    </row>
    <row r="133" spans="1:3" ht="14.5" x14ac:dyDescent="0.35">
      <c r="A133" s="1"/>
      <c r="B133" s="5" t="s">
        <v>171</v>
      </c>
      <c r="C133" s="1"/>
    </row>
    <row r="134" spans="1:3" ht="14.5" x14ac:dyDescent="0.35">
      <c r="A134" s="1"/>
      <c r="B134" s="5" t="s">
        <v>172</v>
      </c>
      <c r="C134" s="1"/>
    </row>
    <row r="135" spans="1:3" ht="14.5" x14ac:dyDescent="0.35">
      <c r="A135" s="1"/>
      <c r="B135" s="5"/>
      <c r="C135" s="1"/>
    </row>
    <row r="136" spans="1:3" ht="14.5" x14ac:dyDescent="0.35">
      <c r="A136" s="1"/>
      <c r="B136" s="3" t="s">
        <v>7</v>
      </c>
      <c r="C136" s="1"/>
    </row>
    <row r="137" spans="1:3" ht="14.5" x14ac:dyDescent="0.35">
      <c r="A137" s="1"/>
      <c r="B137" s="5" t="s">
        <v>173</v>
      </c>
      <c r="C137" s="1"/>
    </row>
    <row r="138" spans="1:3" ht="14.5" x14ac:dyDescent="0.35">
      <c r="A138" s="1"/>
      <c r="B138" s="5" t="s">
        <v>174</v>
      </c>
      <c r="C138" s="1"/>
    </row>
    <row r="139" spans="1:3" ht="14.5" x14ac:dyDescent="0.35">
      <c r="A139" s="1"/>
      <c r="B139" s="5"/>
      <c r="C139" s="1"/>
    </row>
    <row r="140" spans="1:3" ht="15" customHeight="1" x14ac:dyDescent="0.35">
      <c r="A140" s="1"/>
      <c r="B140" s="89" t="s">
        <v>9</v>
      </c>
      <c r="C140" s="79"/>
    </row>
    <row r="141" spans="1:3" ht="14.5" x14ac:dyDescent="0.35">
      <c r="A141" s="1"/>
      <c r="B141" s="25" t="s">
        <v>175</v>
      </c>
      <c r="C141" s="1"/>
    </row>
    <row r="142" spans="1:3" ht="14.5" x14ac:dyDescent="0.35">
      <c r="A142" s="1"/>
      <c r="B142" s="5" t="s">
        <v>176</v>
      </c>
      <c r="C142" s="1"/>
    </row>
    <row r="143" spans="1:3" ht="14.5" x14ac:dyDescent="0.35">
      <c r="A143" s="1"/>
      <c r="B143" s="5"/>
      <c r="C143" s="1"/>
    </row>
    <row r="144" spans="1:3" ht="15" customHeight="1" x14ac:dyDescent="0.35">
      <c r="A144" s="1"/>
      <c r="B144" s="81" t="s">
        <v>10</v>
      </c>
      <c r="C144" s="79"/>
    </row>
    <row r="145" spans="1:3" ht="14.5" x14ac:dyDescent="0.35">
      <c r="A145" s="1"/>
      <c r="B145" s="5" t="s">
        <v>177</v>
      </c>
      <c r="C145" s="1"/>
    </row>
    <row r="146" spans="1:3" ht="14.5" x14ac:dyDescent="0.35">
      <c r="A146" s="1"/>
      <c r="B146" s="5" t="s">
        <v>178</v>
      </c>
      <c r="C146" s="1"/>
    </row>
    <row r="147" spans="1:3" ht="14.5" x14ac:dyDescent="0.35">
      <c r="A147" s="1"/>
      <c r="B147" s="4"/>
      <c r="C147" s="1"/>
    </row>
    <row r="148" spans="1:3" ht="15" customHeight="1" x14ac:dyDescent="0.35">
      <c r="A148" s="1"/>
      <c r="B148" s="81" t="s">
        <v>11</v>
      </c>
      <c r="C148" s="79"/>
    </row>
    <row r="149" spans="1:3" ht="14.5" x14ac:dyDescent="0.35">
      <c r="A149" s="1"/>
      <c r="B149" s="5" t="s">
        <v>179</v>
      </c>
      <c r="C149" s="1"/>
    </row>
    <row r="150" spans="1:3" ht="14.5" x14ac:dyDescent="0.35">
      <c r="A150" s="1"/>
      <c r="B150" s="5" t="s">
        <v>180</v>
      </c>
      <c r="C150" s="1"/>
    </row>
    <row r="151" spans="1:3" ht="12.75" customHeight="1" x14ac:dyDescent="0.35">
      <c r="A151" s="1"/>
      <c r="B151" s="5"/>
      <c r="C151" s="1"/>
    </row>
    <row r="152" spans="1:3" ht="18" customHeight="1" x14ac:dyDescent="0.35">
      <c r="A152" s="1"/>
      <c r="B152" s="81" t="s">
        <v>12</v>
      </c>
      <c r="C152" s="79"/>
    </row>
    <row r="153" spans="1:3" ht="15.75" customHeight="1" x14ac:dyDescent="0.35">
      <c r="A153" s="1"/>
      <c r="B153" s="5" t="s">
        <v>179</v>
      </c>
      <c r="C153" s="2"/>
    </row>
    <row r="154" spans="1:3" ht="15.75" customHeight="1" x14ac:dyDescent="0.35">
      <c r="A154" s="1"/>
      <c r="B154" s="5" t="s">
        <v>181</v>
      </c>
      <c r="C154" s="2"/>
    </row>
    <row r="155" spans="1:3" ht="15.75" customHeight="1" x14ac:dyDescent="0.35">
      <c r="A155" s="1"/>
      <c r="B155" s="5"/>
      <c r="C155" s="2"/>
    </row>
    <row r="156" spans="1:3" ht="15.75" customHeight="1" x14ac:dyDescent="0.35">
      <c r="A156" s="1"/>
      <c r="B156" s="2" t="s">
        <v>52</v>
      </c>
      <c r="C156" s="2"/>
    </row>
    <row r="157" spans="1:3" ht="15.75" customHeight="1" x14ac:dyDescent="0.35">
      <c r="A157" s="1"/>
      <c r="B157" s="5" t="s">
        <v>182</v>
      </c>
      <c r="C157" s="2"/>
    </row>
    <row r="158" spans="1:3" ht="15.75" customHeight="1" x14ac:dyDescent="0.35">
      <c r="A158" s="1"/>
      <c r="B158" s="5" t="s">
        <v>176</v>
      </c>
      <c r="C158" s="2"/>
    </row>
    <row r="159" spans="1:3" ht="15.75" customHeight="1" x14ac:dyDescent="0.35">
      <c r="A159" s="1"/>
      <c r="B159" s="5"/>
      <c r="C159" s="2"/>
    </row>
    <row r="160" spans="1:3" ht="15.75" customHeight="1" x14ac:dyDescent="0.35">
      <c r="A160" s="1"/>
      <c r="B160" s="2" t="s">
        <v>53</v>
      </c>
      <c r="C160" s="2"/>
    </row>
    <row r="161" spans="1:3" ht="15.75" customHeight="1" x14ac:dyDescent="0.35">
      <c r="A161" s="1"/>
      <c r="B161" s="5" t="s">
        <v>183</v>
      </c>
      <c r="C161" s="2"/>
    </row>
    <row r="162" spans="1:3" ht="15.75" customHeight="1" x14ac:dyDescent="0.35">
      <c r="A162" s="1"/>
      <c r="B162" s="5" t="s">
        <v>184</v>
      </c>
      <c r="C162" s="2"/>
    </row>
    <row r="163" spans="1:3" ht="14.5" x14ac:dyDescent="0.35">
      <c r="A163" s="1"/>
      <c r="B163" s="5"/>
      <c r="C163" s="1"/>
    </row>
    <row r="164" spans="1:3" ht="15" customHeight="1" x14ac:dyDescent="0.35">
      <c r="A164" s="1"/>
      <c r="B164" s="81" t="s">
        <v>14</v>
      </c>
      <c r="C164" s="79"/>
    </row>
    <row r="165" spans="1:3" ht="14.5" x14ac:dyDescent="0.35">
      <c r="A165" s="1"/>
      <c r="B165" s="5" t="s">
        <v>185</v>
      </c>
      <c r="C165" s="1"/>
    </row>
    <row r="166" spans="1:3" ht="14.5" x14ac:dyDescent="0.35">
      <c r="A166" s="1"/>
      <c r="B166" s="5" t="s">
        <v>186</v>
      </c>
      <c r="C166" s="1"/>
    </row>
    <row r="167" spans="1:3" ht="14.5" x14ac:dyDescent="0.35">
      <c r="A167" s="1"/>
      <c r="B167" s="5"/>
      <c r="C167" s="1"/>
    </row>
    <row r="168" spans="1:3" ht="15" customHeight="1" x14ac:dyDescent="0.35">
      <c r="A168" s="1"/>
      <c r="B168" s="81" t="s">
        <v>15</v>
      </c>
      <c r="C168" s="79"/>
    </row>
    <row r="169" spans="1:3" ht="15" customHeight="1" x14ac:dyDescent="0.35">
      <c r="A169" s="1"/>
      <c r="B169" s="5" t="s">
        <v>187</v>
      </c>
      <c r="C169" s="14"/>
    </row>
    <row r="170" spans="1:3" ht="14.5" x14ac:dyDescent="0.35">
      <c r="A170" s="1"/>
      <c r="B170" s="5" t="s">
        <v>188</v>
      </c>
      <c r="C170" s="1"/>
    </row>
    <row r="171" spans="1:3" ht="14.5" x14ac:dyDescent="0.35">
      <c r="A171" s="1"/>
      <c r="B171" s="5"/>
      <c r="C171" s="1"/>
    </row>
    <row r="172" spans="1:3" ht="14.5" x14ac:dyDescent="0.35">
      <c r="A172" s="1"/>
      <c r="B172" s="2" t="s">
        <v>16</v>
      </c>
      <c r="C172" s="1"/>
    </row>
    <row r="173" spans="1:3" ht="14.5" x14ac:dyDescent="0.35">
      <c r="A173" s="1"/>
      <c r="B173" s="5" t="s">
        <v>189</v>
      </c>
      <c r="C173" s="1"/>
    </row>
    <row r="174" spans="1:3" ht="14.5" x14ac:dyDescent="0.35">
      <c r="A174" s="1"/>
      <c r="B174" s="5" t="s">
        <v>190</v>
      </c>
      <c r="C174" s="1"/>
    </row>
    <row r="175" spans="1:3" ht="14.5" x14ac:dyDescent="0.35">
      <c r="A175" s="1"/>
      <c r="B175" s="5"/>
      <c r="C175" s="1"/>
    </row>
    <row r="176" spans="1:3" ht="15" customHeight="1" x14ac:dyDescent="0.35">
      <c r="A176" s="1"/>
      <c r="B176" s="81" t="s">
        <v>17</v>
      </c>
      <c r="C176" s="79"/>
    </row>
    <row r="177" spans="1:3" ht="14.5" x14ac:dyDescent="0.35">
      <c r="A177" s="1"/>
      <c r="B177" s="5" t="s">
        <v>191</v>
      </c>
      <c r="C177" s="1"/>
    </row>
    <row r="178" spans="1:3" ht="14.5" x14ac:dyDescent="0.35">
      <c r="A178" s="1"/>
      <c r="B178" s="5" t="s">
        <v>192</v>
      </c>
      <c r="C178" s="1"/>
    </row>
    <row r="179" spans="1:3" ht="14.5" x14ac:dyDescent="0.35">
      <c r="A179" s="1"/>
      <c r="B179" s="5"/>
      <c r="C179" s="1"/>
    </row>
    <row r="180" spans="1:3" ht="14.5" x14ac:dyDescent="0.35">
      <c r="A180" s="1"/>
      <c r="B180" s="80" t="s">
        <v>18</v>
      </c>
      <c r="C180" s="79"/>
    </row>
    <row r="181" spans="1:3" ht="14.5" x14ac:dyDescent="0.35">
      <c r="A181" s="1"/>
      <c r="B181" s="5" t="s">
        <v>193</v>
      </c>
      <c r="C181" s="1"/>
    </row>
    <row r="182" spans="1:3" ht="14.5" x14ac:dyDescent="0.35">
      <c r="A182" s="1"/>
      <c r="B182" s="5" t="s">
        <v>194</v>
      </c>
      <c r="C182" s="1"/>
    </row>
    <row r="183" spans="1:3" ht="14.5" x14ac:dyDescent="0.35">
      <c r="A183" s="1"/>
      <c r="B183" s="5"/>
      <c r="C183" s="1"/>
    </row>
    <row r="184" spans="1:3" ht="14.5" x14ac:dyDescent="0.35">
      <c r="A184" s="1"/>
      <c r="B184" s="81" t="s">
        <v>19</v>
      </c>
      <c r="C184" s="79"/>
    </row>
    <row r="185" spans="1:3" ht="14.5" x14ac:dyDescent="0.35">
      <c r="A185" s="1"/>
      <c r="B185" s="5" t="s">
        <v>195</v>
      </c>
      <c r="C185" s="1"/>
    </row>
    <row r="186" spans="1:3" ht="14.5" x14ac:dyDescent="0.35">
      <c r="A186" s="1"/>
      <c r="B186" s="5" t="s">
        <v>196</v>
      </c>
      <c r="C186" s="1"/>
    </row>
    <row r="187" spans="1:3" ht="14.5" x14ac:dyDescent="0.35">
      <c r="A187" s="1"/>
      <c r="B187" s="5"/>
      <c r="C187" s="1"/>
    </row>
    <row r="188" spans="1:3" ht="15" customHeight="1" x14ac:dyDescent="0.35">
      <c r="A188" s="1"/>
      <c r="B188" s="81" t="s">
        <v>20</v>
      </c>
      <c r="C188" s="79"/>
    </row>
    <row r="189" spans="1:3" ht="14.5" x14ac:dyDescent="0.35">
      <c r="A189" s="1"/>
      <c r="B189" s="5" t="s">
        <v>197</v>
      </c>
      <c r="C189" s="1"/>
    </row>
    <row r="190" spans="1:3" ht="14.5" x14ac:dyDescent="0.35">
      <c r="A190" s="1"/>
      <c r="B190" s="5" t="s">
        <v>198</v>
      </c>
      <c r="C190" s="1"/>
    </row>
    <row r="191" spans="1:3" ht="14.5" x14ac:dyDescent="0.35">
      <c r="A191" s="1"/>
      <c r="B191" s="5"/>
      <c r="C191" s="1"/>
    </row>
    <row r="192" spans="1:3" ht="18.75" customHeight="1" x14ac:dyDescent="0.35">
      <c r="A192" s="1"/>
      <c r="B192" s="87" t="s">
        <v>199</v>
      </c>
      <c r="C192" s="79"/>
    </row>
    <row r="193" spans="1:3" ht="14.5" x14ac:dyDescent="0.35">
      <c r="A193" s="1"/>
      <c r="B193" s="5" t="s">
        <v>200</v>
      </c>
      <c r="C193" s="1"/>
    </row>
    <row r="194" spans="1:3" ht="14.5" x14ac:dyDescent="0.35">
      <c r="A194" s="1"/>
      <c r="B194" s="5" t="s">
        <v>201</v>
      </c>
      <c r="C194" s="1"/>
    </row>
    <row r="195" spans="1:3" ht="14.5" x14ac:dyDescent="0.35">
      <c r="A195" s="1"/>
      <c r="B195" s="5"/>
      <c r="C195" s="1"/>
    </row>
    <row r="196" spans="1:3" ht="14.5" x14ac:dyDescent="0.35">
      <c r="A196" s="1"/>
      <c r="B196" s="81" t="s">
        <v>22</v>
      </c>
      <c r="C196" s="79"/>
    </row>
    <row r="197" spans="1:3" ht="14.5" x14ac:dyDescent="0.35">
      <c r="A197" s="1"/>
      <c r="B197" s="5" t="s">
        <v>202</v>
      </c>
      <c r="C197" s="1"/>
    </row>
    <row r="198" spans="1:3" ht="14.5" x14ac:dyDescent="0.35">
      <c r="A198" s="1"/>
      <c r="B198" s="5" t="s">
        <v>194</v>
      </c>
      <c r="C198" s="1"/>
    </row>
    <row r="199" spans="1:3" ht="14.5" x14ac:dyDescent="0.35">
      <c r="A199" s="1"/>
      <c r="B199" s="5"/>
      <c r="C199" s="1"/>
    </row>
    <row r="200" spans="1:3" ht="26.25" customHeight="1" x14ac:dyDescent="0.35">
      <c r="A200" s="1"/>
      <c r="B200" s="81" t="s">
        <v>203</v>
      </c>
      <c r="C200" s="79"/>
    </row>
    <row r="201" spans="1:3" ht="14.5" x14ac:dyDescent="0.35">
      <c r="A201" s="1"/>
      <c r="B201" s="5" t="s">
        <v>202</v>
      </c>
      <c r="C201" s="1"/>
    </row>
    <row r="202" spans="1:3" ht="14.5" x14ac:dyDescent="0.35">
      <c r="A202" s="1"/>
      <c r="B202" s="5" t="s">
        <v>196</v>
      </c>
      <c r="C202" s="1"/>
    </row>
    <row r="203" spans="1:3" ht="14.5" x14ac:dyDescent="0.35">
      <c r="A203" s="1"/>
      <c r="B203" s="5"/>
      <c r="C203" s="1"/>
    </row>
    <row r="204" spans="1:3" ht="15" customHeight="1" x14ac:dyDescent="0.35">
      <c r="A204" s="1"/>
      <c r="B204" s="87" t="s">
        <v>24</v>
      </c>
      <c r="C204" s="79"/>
    </row>
    <row r="205" spans="1:3" ht="14.5" x14ac:dyDescent="0.35">
      <c r="A205" s="1"/>
      <c r="B205" s="5" t="s">
        <v>204</v>
      </c>
      <c r="C205" s="1"/>
    </row>
    <row r="206" spans="1:3" ht="14.5" x14ac:dyDescent="0.35">
      <c r="A206" s="1"/>
      <c r="B206" s="5" t="s">
        <v>201</v>
      </c>
      <c r="C206" s="1"/>
    </row>
    <row r="207" spans="1:3" ht="16.5" customHeight="1" x14ac:dyDescent="0.35">
      <c r="A207" s="1"/>
      <c r="B207" s="5"/>
      <c r="C207" s="1"/>
    </row>
    <row r="208" spans="1:3" ht="18" customHeight="1" x14ac:dyDescent="0.35">
      <c r="A208" s="1"/>
      <c r="B208" s="81" t="s">
        <v>25</v>
      </c>
      <c r="C208" s="79"/>
    </row>
    <row r="209" spans="1:3" ht="14.5" x14ac:dyDescent="0.35">
      <c r="A209" s="1"/>
      <c r="B209" s="5" t="s">
        <v>205</v>
      </c>
      <c r="C209" s="1"/>
    </row>
    <row r="210" spans="1:3" ht="14.5" x14ac:dyDescent="0.35">
      <c r="A210" s="1"/>
      <c r="B210" s="5" t="s">
        <v>206</v>
      </c>
      <c r="C210" s="1"/>
    </row>
    <row r="211" spans="1:3" ht="14.5" x14ac:dyDescent="0.35">
      <c r="A211" s="1"/>
      <c r="B211" s="5"/>
      <c r="C211" s="1"/>
    </row>
    <row r="212" spans="1:3" ht="17.25" customHeight="1" x14ac:dyDescent="0.35">
      <c r="A212" s="1"/>
      <c r="B212" s="81" t="s">
        <v>26</v>
      </c>
      <c r="C212" s="79"/>
    </row>
    <row r="213" spans="1:3" ht="14.5" x14ac:dyDescent="0.35">
      <c r="A213" s="1"/>
      <c r="B213" s="5" t="s">
        <v>207</v>
      </c>
      <c r="C213" s="1"/>
    </row>
    <row r="214" spans="1:3" ht="14.5" x14ac:dyDescent="0.35">
      <c r="A214" s="1"/>
      <c r="B214" s="5" t="s">
        <v>208</v>
      </c>
      <c r="C214" s="1"/>
    </row>
    <row r="215" spans="1:3" ht="14.5" x14ac:dyDescent="0.35">
      <c r="A215" s="1"/>
      <c r="B215" s="5"/>
      <c r="C215" s="1"/>
    </row>
    <row r="216" spans="1:3" ht="26.25" customHeight="1" x14ac:dyDescent="0.35">
      <c r="A216" s="1"/>
      <c r="B216" s="81" t="s">
        <v>27</v>
      </c>
      <c r="C216" s="79"/>
    </row>
    <row r="217" spans="1:3" ht="14.5" x14ac:dyDescent="0.35">
      <c r="A217" s="1"/>
      <c r="B217" s="5" t="s">
        <v>205</v>
      </c>
      <c r="C217" s="1"/>
    </row>
    <row r="218" spans="1:3" ht="14.5" x14ac:dyDescent="0.35">
      <c r="A218" s="1"/>
      <c r="B218" s="5" t="s">
        <v>209</v>
      </c>
      <c r="C218" s="1"/>
    </row>
    <row r="219" spans="1:3" ht="14.5" x14ac:dyDescent="0.35">
      <c r="A219" s="1"/>
      <c r="B219" s="5"/>
      <c r="C219" s="1"/>
    </row>
    <row r="220" spans="1:3" ht="15" customHeight="1" x14ac:dyDescent="0.35">
      <c r="A220" s="1"/>
      <c r="B220" s="2" t="s">
        <v>28</v>
      </c>
      <c r="C220" s="1"/>
    </row>
    <row r="221" spans="1:3" ht="14.5" x14ac:dyDescent="0.35">
      <c r="A221" s="1"/>
      <c r="B221" s="5" t="s">
        <v>210</v>
      </c>
      <c r="C221" s="1"/>
    </row>
    <row r="222" spans="1:3" ht="14.5" x14ac:dyDescent="0.35">
      <c r="A222" s="1"/>
      <c r="B222" s="5" t="s">
        <v>211</v>
      </c>
      <c r="C222" s="1"/>
    </row>
    <row r="223" spans="1:3" ht="14.5" x14ac:dyDescent="0.35">
      <c r="A223" s="1"/>
      <c r="B223" s="5"/>
      <c r="C223" s="1"/>
    </row>
    <row r="224" spans="1:3" ht="14.5" x14ac:dyDescent="0.35">
      <c r="A224" s="1"/>
      <c r="B224" s="2" t="s">
        <v>212</v>
      </c>
      <c r="C224" s="1"/>
    </row>
    <row r="225" spans="1:3" ht="14.5" x14ac:dyDescent="0.35">
      <c r="A225" s="1"/>
      <c r="B225" s="5" t="s">
        <v>213</v>
      </c>
      <c r="C225" s="1"/>
    </row>
    <row r="226" spans="1:3" ht="14.5" x14ac:dyDescent="0.35">
      <c r="A226" s="1"/>
      <c r="B226" s="5" t="s">
        <v>214</v>
      </c>
      <c r="C226" s="1"/>
    </row>
    <row r="227" spans="1:3" ht="14.5" x14ac:dyDescent="0.35">
      <c r="A227" s="1"/>
      <c r="B227" s="5"/>
      <c r="C227" s="1"/>
    </row>
    <row r="228" spans="1:3" ht="17.25" customHeight="1" x14ac:dyDescent="0.35">
      <c r="A228" s="1"/>
      <c r="B228" s="81" t="s">
        <v>54</v>
      </c>
      <c r="C228" s="79"/>
    </row>
    <row r="229" spans="1:3" ht="14.5" x14ac:dyDescent="0.35">
      <c r="A229" s="1"/>
      <c r="B229" s="5" t="s">
        <v>215</v>
      </c>
      <c r="C229" s="14"/>
    </row>
    <row r="230" spans="1:3" ht="14.5" x14ac:dyDescent="0.35">
      <c r="A230" s="1"/>
      <c r="B230" s="5" t="s">
        <v>216</v>
      </c>
      <c r="C230" s="1"/>
    </row>
    <row r="231" spans="1:3" ht="14.5" x14ac:dyDescent="0.35">
      <c r="A231" s="1"/>
      <c r="B231" s="5"/>
      <c r="C231" s="1"/>
    </row>
    <row r="232" spans="1:3" ht="14.5" x14ac:dyDescent="0.35">
      <c r="A232" s="1"/>
      <c r="B232" s="81" t="s">
        <v>55</v>
      </c>
      <c r="C232" s="79"/>
    </row>
    <row r="233" spans="1:3" ht="14.5" x14ac:dyDescent="0.35">
      <c r="A233" s="1"/>
      <c r="B233" s="5" t="s">
        <v>217</v>
      </c>
      <c r="C233" s="1"/>
    </row>
    <row r="234" spans="1:3" ht="14.5" x14ac:dyDescent="0.35">
      <c r="A234" s="1"/>
      <c r="B234" s="5" t="s">
        <v>218</v>
      </c>
      <c r="C234" s="1"/>
    </row>
    <row r="235" spans="1:3" ht="14.5" x14ac:dyDescent="0.35">
      <c r="A235" s="1"/>
      <c r="B235" s="5"/>
      <c r="C235" s="1"/>
    </row>
    <row r="236" spans="1:3" ht="14.5" x14ac:dyDescent="0.35">
      <c r="A236" s="1"/>
      <c r="B236" s="80" t="s">
        <v>56</v>
      </c>
      <c r="C236" s="79"/>
    </row>
    <row r="237" spans="1:3" ht="14.5" x14ac:dyDescent="0.35">
      <c r="A237" s="1"/>
      <c r="B237" s="5" t="s">
        <v>219</v>
      </c>
      <c r="C237" s="1"/>
    </row>
    <row r="238" spans="1:3" ht="14.5" x14ac:dyDescent="0.35">
      <c r="A238" s="1"/>
      <c r="B238" s="5" t="s">
        <v>220</v>
      </c>
      <c r="C238" s="1"/>
    </row>
    <row r="239" spans="1:3" ht="14.5" x14ac:dyDescent="0.35">
      <c r="A239" s="1"/>
      <c r="B239" s="5"/>
      <c r="C239" s="1"/>
    </row>
    <row r="240" spans="1:3" ht="14.5" x14ac:dyDescent="0.35">
      <c r="A240" s="1"/>
      <c r="B240" s="3" t="s">
        <v>221</v>
      </c>
      <c r="C240" s="1"/>
    </row>
    <row r="241" spans="1:3" ht="14.5" x14ac:dyDescent="0.35">
      <c r="A241" s="1"/>
      <c r="B241" s="5" t="s">
        <v>222</v>
      </c>
      <c r="C241" s="1"/>
    </row>
    <row r="242" spans="1:3" ht="14.5" x14ac:dyDescent="0.35">
      <c r="A242" s="1"/>
      <c r="B242" s="5" t="s">
        <v>190</v>
      </c>
      <c r="C242" s="1"/>
    </row>
    <row r="243" spans="1:3" ht="14.5" x14ac:dyDescent="0.35">
      <c r="A243" s="1"/>
      <c r="B243" s="5"/>
      <c r="C243" s="1"/>
    </row>
    <row r="244" spans="1:3" ht="14.5" x14ac:dyDescent="0.35">
      <c r="A244" s="1"/>
      <c r="B244" s="3" t="s">
        <v>58</v>
      </c>
      <c r="C244" s="1"/>
    </row>
    <row r="245" spans="1:3" ht="14.5" x14ac:dyDescent="0.35">
      <c r="A245" s="1"/>
      <c r="B245" s="5" t="s">
        <v>223</v>
      </c>
      <c r="C245" s="1"/>
    </row>
    <row r="246" spans="1:3" ht="14.5" x14ac:dyDescent="0.35">
      <c r="A246" s="1"/>
      <c r="B246" s="5" t="s">
        <v>190</v>
      </c>
      <c r="C246" s="1"/>
    </row>
    <row r="247" spans="1:3" ht="14.5" x14ac:dyDescent="0.35">
      <c r="A247" s="1"/>
      <c r="B247" s="5"/>
      <c r="C247" s="1"/>
    </row>
    <row r="248" spans="1:3" ht="14.5" x14ac:dyDescent="0.35">
      <c r="A248" s="1"/>
      <c r="B248" s="2" t="s">
        <v>31</v>
      </c>
      <c r="C248" s="1"/>
    </row>
    <row r="249" spans="1:3" ht="14.5" x14ac:dyDescent="0.35">
      <c r="A249" s="1"/>
      <c r="B249" s="5" t="s">
        <v>224</v>
      </c>
      <c r="C249" s="1"/>
    </row>
    <row r="250" spans="1:3" ht="14.5" x14ac:dyDescent="0.35">
      <c r="A250" s="1"/>
      <c r="B250" s="5" t="s">
        <v>225</v>
      </c>
      <c r="C250" s="1"/>
    </row>
    <row r="251" spans="1:3" ht="14.5" x14ac:dyDescent="0.35">
      <c r="A251" s="1"/>
      <c r="B251" s="5"/>
      <c r="C251" s="1"/>
    </row>
    <row r="252" spans="1:3" ht="14.5" x14ac:dyDescent="0.35">
      <c r="A252" s="1"/>
      <c r="B252" s="2" t="s">
        <v>32</v>
      </c>
      <c r="C252" s="1"/>
    </row>
    <row r="253" spans="1:3" ht="14.5" x14ac:dyDescent="0.35">
      <c r="A253" s="1"/>
      <c r="B253" s="5" t="s">
        <v>226</v>
      </c>
      <c r="C253" s="1"/>
    </row>
    <row r="254" spans="1:3" ht="14.5" x14ac:dyDescent="0.35">
      <c r="A254" s="1"/>
      <c r="B254" s="5" t="s">
        <v>227</v>
      </c>
      <c r="C254" s="1"/>
    </row>
    <row r="255" spans="1:3" ht="14.5" x14ac:dyDescent="0.35">
      <c r="A255" s="1"/>
      <c r="B255" s="5"/>
      <c r="C255" s="1"/>
    </row>
    <row r="256" spans="1:3" ht="15" customHeight="1" x14ac:dyDescent="0.35">
      <c r="A256" s="1"/>
      <c r="B256" s="2" t="s">
        <v>228</v>
      </c>
      <c r="C256" s="1"/>
    </row>
    <row r="257" spans="1:3" ht="14.5" x14ac:dyDescent="0.35">
      <c r="A257" s="1"/>
      <c r="B257" s="5" t="s">
        <v>229</v>
      </c>
      <c r="C257" s="1"/>
    </row>
    <row r="258" spans="1:3" ht="14.5" x14ac:dyDescent="0.35">
      <c r="A258" s="1"/>
      <c r="B258" s="5" t="s">
        <v>230</v>
      </c>
      <c r="C258" s="1"/>
    </row>
    <row r="259" spans="1:3" ht="14.5" x14ac:dyDescent="0.35">
      <c r="A259" s="1"/>
      <c r="B259" s="5"/>
      <c r="C259" s="1"/>
    </row>
    <row r="260" spans="1:3" ht="15" customHeight="1" x14ac:dyDescent="0.35">
      <c r="A260" s="1"/>
      <c r="B260" s="2" t="s">
        <v>34</v>
      </c>
      <c r="C260" s="1"/>
    </row>
    <row r="261" spans="1:3" ht="14.5" x14ac:dyDescent="0.35">
      <c r="A261" s="1"/>
      <c r="B261" s="5" t="s">
        <v>231</v>
      </c>
      <c r="C261" s="1"/>
    </row>
    <row r="262" spans="1:3" ht="14.5" x14ac:dyDescent="0.35">
      <c r="A262" s="1"/>
      <c r="B262" s="5" t="s">
        <v>232</v>
      </c>
      <c r="C262" s="1"/>
    </row>
    <row r="263" spans="1:3" ht="14.5" x14ac:dyDescent="0.35">
      <c r="A263" s="1"/>
      <c r="B263" s="5"/>
      <c r="C263" s="1"/>
    </row>
    <row r="264" spans="1:3" ht="14.5" x14ac:dyDescent="0.35">
      <c r="A264" s="1"/>
      <c r="B264" s="2" t="s">
        <v>35</v>
      </c>
      <c r="C264" s="1"/>
    </row>
    <row r="265" spans="1:3" ht="14.5" x14ac:dyDescent="0.35">
      <c r="A265" s="1"/>
      <c r="B265" s="5" t="s">
        <v>233</v>
      </c>
      <c r="C265" s="1"/>
    </row>
    <row r="266" spans="1:3" ht="14.5" x14ac:dyDescent="0.35">
      <c r="A266" s="1"/>
      <c r="B266" s="5" t="s">
        <v>234</v>
      </c>
      <c r="C266" s="1"/>
    </row>
    <row r="267" spans="1:3" ht="14.5" x14ac:dyDescent="0.35">
      <c r="A267" s="1"/>
      <c r="B267" s="5"/>
      <c r="C267" s="1"/>
    </row>
    <row r="268" spans="1:3" ht="14.5" x14ac:dyDescent="0.35">
      <c r="A268" s="1"/>
      <c r="B268" s="2" t="s">
        <v>235</v>
      </c>
      <c r="C268" s="1"/>
    </row>
    <row r="269" spans="1:3" ht="14.5" x14ac:dyDescent="0.35">
      <c r="A269" s="1"/>
      <c r="B269" s="5" t="s">
        <v>236</v>
      </c>
      <c r="C269" s="1"/>
    </row>
    <row r="270" spans="1:3" ht="14.5" x14ac:dyDescent="0.35">
      <c r="A270" s="1"/>
      <c r="B270" s="5" t="s">
        <v>237</v>
      </c>
      <c r="C270" s="1"/>
    </row>
    <row r="271" spans="1:3" ht="14.5" x14ac:dyDescent="0.35">
      <c r="A271" s="1"/>
      <c r="B271" s="5"/>
      <c r="C271" s="1"/>
    </row>
    <row r="272" spans="1:3" ht="14.5" x14ac:dyDescent="0.35">
      <c r="A272" s="1"/>
      <c r="B272" s="81" t="s">
        <v>238</v>
      </c>
      <c r="C272" s="79"/>
    </row>
    <row r="273" spans="1:3" ht="14.5" x14ac:dyDescent="0.35">
      <c r="A273" s="1"/>
      <c r="B273" s="5" t="s">
        <v>239</v>
      </c>
      <c r="C273" s="1"/>
    </row>
    <row r="274" spans="1:3" ht="14.5" x14ac:dyDescent="0.35">
      <c r="A274" s="1"/>
      <c r="B274" s="5" t="s">
        <v>240</v>
      </c>
      <c r="C274" s="1"/>
    </row>
    <row r="275" spans="1:3" ht="14.5" x14ac:dyDescent="0.35">
      <c r="A275" s="1"/>
      <c r="B275" s="5"/>
      <c r="C275" s="1"/>
    </row>
    <row r="276" spans="1:3" ht="27.75" customHeight="1" x14ac:dyDescent="0.35">
      <c r="A276" s="1"/>
      <c r="B276" s="81" t="s">
        <v>241</v>
      </c>
      <c r="C276" s="79"/>
    </row>
    <row r="277" spans="1:3" ht="14.5" x14ac:dyDescent="0.35">
      <c r="A277" s="1"/>
      <c r="B277" s="5" t="s">
        <v>242</v>
      </c>
      <c r="C277" s="1"/>
    </row>
    <row r="278" spans="1:3" ht="14.5" x14ac:dyDescent="0.35">
      <c r="A278" s="1"/>
      <c r="B278" s="5" t="s">
        <v>243</v>
      </c>
      <c r="C278" s="1"/>
    </row>
    <row r="279" spans="1:3" ht="14.5" x14ac:dyDescent="0.35">
      <c r="A279" s="1"/>
      <c r="B279" s="5"/>
      <c r="C279" s="1"/>
    </row>
    <row r="280" spans="1:3" ht="26.25" customHeight="1" x14ac:dyDescent="0.35">
      <c r="A280" s="1"/>
      <c r="B280" s="81" t="s">
        <v>61</v>
      </c>
      <c r="C280" s="79"/>
    </row>
    <row r="281" spans="1:3" ht="14.5" x14ac:dyDescent="0.35">
      <c r="A281" s="1"/>
      <c r="B281" s="5" t="s">
        <v>244</v>
      </c>
      <c r="C281" s="1"/>
    </row>
    <row r="282" spans="1:3" ht="14.5" x14ac:dyDescent="0.35">
      <c r="A282" s="1"/>
      <c r="B282" s="5" t="s">
        <v>245</v>
      </c>
      <c r="C282" s="1"/>
    </row>
    <row r="283" spans="1:3" ht="14.5" x14ac:dyDescent="0.35">
      <c r="A283" s="1"/>
      <c r="B283" s="5"/>
      <c r="C283" s="1"/>
    </row>
    <row r="284" spans="1:3" ht="26.25" customHeight="1" x14ac:dyDescent="0.35">
      <c r="A284" s="1"/>
      <c r="B284" s="81" t="s">
        <v>38</v>
      </c>
      <c r="C284" s="79"/>
    </row>
    <row r="285" spans="1:3" ht="14.5" x14ac:dyDescent="0.35">
      <c r="A285" s="1"/>
      <c r="B285" s="86" t="s">
        <v>246</v>
      </c>
      <c r="C285" s="79"/>
    </row>
    <row r="286" spans="1:3" ht="14.5" x14ac:dyDescent="0.35">
      <c r="A286" s="1"/>
      <c r="B286" s="5" t="s">
        <v>247</v>
      </c>
      <c r="C286" s="1"/>
    </row>
    <row r="287" spans="1:3" ht="14.5" x14ac:dyDescent="0.35">
      <c r="A287" s="1"/>
      <c r="B287" s="5"/>
      <c r="C287" s="1"/>
    </row>
    <row r="288" spans="1:3" ht="26.25" customHeight="1" x14ac:dyDescent="0.35">
      <c r="A288" s="1"/>
      <c r="B288" s="81" t="s">
        <v>248</v>
      </c>
      <c r="C288" s="79"/>
    </row>
    <row r="289" spans="1:3" ht="14.5" x14ac:dyDescent="0.35">
      <c r="A289" s="1"/>
      <c r="B289" s="86" t="s">
        <v>249</v>
      </c>
      <c r="C289" s="79"/>
    </row>
    <row r="290" spans="1:3" ht="14.5" x14ac:dyDescent="0.35">
      <c r="A290" s="1"/>
      <c r="B290" s="5" t="s">
        <v>250</v>
      </c>
      <c r="C290" s="1"/>
    </row>
    <row r="291" spans="1:3" ht="14.5" x14ac:dyDescent="0.35">
      <c r="A291" s="1"/>
      <c r="B291" s="5"/>
      <c r="C291" s="1"/>
    </row>
    <row r="292" spans="1:3" ht="26.25" customHeight="1" x14ac:dyDescent="0.35">
      <c r="A292" s="1"/>
      <c r="B292" s="81" t="s">
        <v>40</v>
      </c>
      <c r="C292" s="79"/>
    </row>
    <row r="293" spans="1:3" ht="27" customHeight="1" x14ac:dyDescent="0.35">
      <c r="A293" s="1"/>
      <c r="B293" s="86" t="s">
        <v>251</v>
      </c>
      <c r="C293" s="79"/>
    </row>
    <row r="294" spans="1:3" ht="14.5" x14ac:dyDescent="0.35">
      <c r="A294" s="1"/>
      <c r="B294" s="5" t="s">
        <v>247</v>
      </c>
      <c r="C294" s="1"/>
    </row>
    <row r="295" spans="1:3" ht="14.5" x14ac:dyDescent="0.35">
      <c r="A295" s="1"/>
      <c r="B295" s="5"/>
      <c r="C295" s="1"/>
    </row>
    <row r="296" spans="1:3" ht="26.25" customHeight="1" x14ac:dyDescent="0.35">
      <c r="A296" s="1"/>
      <c r="B296" s="81" t="s">
        <v>252</v>
      </c>
      <c r="C296" s="79"/>
    </row>
    <row r="297" spans="1:3" ht="30" customHeight="1" x14ac:dyDescent="0.35">
      <c r="A297" s="1"/>
      <c r="B297" s="78" t="s">
        <v>253</v>
      </c>
      <c r="C297" s="79"/>
    </row>
    <row r="298" spans="1:3" ht="14.5" x14ac:dyDescent="0.35">
      <c r="A298" s="1"/>
      <c r="B298" s="5" t="s">
        <v>254</v>
      </c>
      <c r="C298" s="1"/>
    </row>
    <row r="299" spans="1:3" ht="14.5" x14ac:dyDescent="0.35">
      <c r="A299" s="1"/>
      <c r="B299" s="5"/>
      <c r="C299" s="1"/>
    </row>
    <row r="300" spans="1:3" ht="26.25" customHeight="1" x14ac:dyDescent="0.35">
      <c r="A300" s="1"/>
      <c r="B300" s="81" t="s">
        <v>42</v>
      </c>
      <c r="C300" s="79"/>
    </row>
    <row r="301" spans="1:3" ht="27.75" customHeight="1" x14ac:dyDescent="0.35">
      <c r="A301" s="1"/>
      <c r="B301" s="86" t="s">
        <v>255</v>
      </c>
      <c r="C301" s="79"/>
    </row>
    <row r="302" spans="1:3" ht="14.5" x14ac:dyDescent="0.35">
      <c r="A302" s="1"/>
      <c r="B302" s="5" t="s">
        <v>256</v>
      </c>
      <c r="C302" s="1"/>
    </row>
    <row r="303" spans="1:3" ht="14.5" x14ac:dyDescent="0.35">
      <c r="A303" s="1"/>
      <c r="B303" s="5"/>
      <c r="C303" s="1"/>
    </row>
    <row r="304" spans="1:3" ht="26.25" customHeight="1" x14ac:dyDescent="0.35">
      <c r="A304" s="1"/>
      <c r="B304" s="81" t="s">
        <v>43</v>
      </c>
      <c r="C304" s="79"/>
    </row>
    <row r="305" spans="1:3" ht="27" customHeight="1" x14ac:dyDescent="0.35">
      <c r="A305" s="1"/>
      <c r="B305" s="86" t="s">
        <v>255</v>
      </c>
      <c r="C305" s="79"/>
    </row>
    <row r="306" spans="1:3" ht="14.5" x14ac:dyDescent="0.35">
      <c r="A306" s="1"/>
      <c r="B306" s="5" t="s">
        <v>256</v>
      </c>
      <c r="C306" s="1"/>
    </row>
    <row r="307" spans="1:3" ht="14.5" x14ac:dyDescent="0.35">
      <c r="A307" s="1"/>
      <c r="B307" s="5"/>
      <c r="C307" s="1"/>
    </row>
    <row r="308" spans="1:3" ht="26.25" customHeight="1" x14ac:dyDescent="0.35">
      <c r="A308" s="1"/>
      <c r="B308" s="81" t="s">
        <v>257</v>
      </c>
      <c r="C308" s="79"/>
    </row>
    <row r="309" spans="1:3" ht="14.5" x14ac:dyDescent="0.35">
      <c r="A309" s="1"/>
      <c r="B309" s="86" t="s">
        <v>258</v>
      </c>
      <c r="C309" s="79"/>
    </row>
    <row r="310" spans="1:3" ht="14.5" x14ac:dyDescent="0.35">
      <c r="A310" s="1"/>
      <c r="B310" s="5" t="s">
        <v>259</v>
      </c>
      <c r="C310" s="1"/>
    </row>
    <row r="311" spans="1:3" ht="14.5" x14ac:dyDescent="0.35">
      <c r="A311" s="1"/>
      <c r="B311" s="5"/>
      <c r="C311" s="1"/>
    </row>
    <row r="312" spans="1:3" ht="24.75" customHeight="1" x14ac:dyDescent="0.35">
      <c r="A312" s="1"/>
      <c r="B312" s="81" t="s">
        <v>260</v>
      </c>
      <c r="C312" s="79"/>
    </row>
    <row r="313" spans="1:3" ht="14.5" x14ac:dyDescent="0.35">
      <c r="A313" s="1"/>
      <c r="B313" s="86" t="s">
        <v>258</v>
      </c>
      <c r="C313" s="79"/>
    </row>
    <row r="314" spans="1:3" ht="14.5" x14ac:dyDescent="0.35">
      <c r="A314" s="1"/>
      <c r="B314" s="5" t="s">
        <v>259</v>
      </c>
      <c r="C314" s="1"/>
    </row>
    <row r="315" spans="1:3" ht="14.5" x14ac:dyDescent="0.35">
      <c r="A315" s="1"/>
      <c r="B315" s="5"/>
      <c r="C315" s="1"/>
    </row>
    <row r="316" spans="1:3" ht="15.75" customHeight="1" x14ac:dyDescent="0.35">
      <c r="A316" s="1"/>
      <c r="B316" s="95" t="s">
        <v>261</v>
      </c>
      <c r="C316" s="79"/>
    </row>
    <row r="317" spans="1:3" ht="15" customHeight="1" x14ac:dyDescent="0.35">
      <c r="A317" s="1"/>
      <c r="B317" s="5" t="s">
        <v>262</v>
      </c>
      <c r="C317" s="1"/>
    </row>
    <row r="318" spans="1:3" ht="14.5" x14ac:dyDescent="0.35">
      <c r="A318" s="1"/>
      <c r="B318" s="5" t="s">
        <v>247</v>
      </c>
      <c r="C318" s="1"/>
    </row>
    <row r="319" spans="1:3" ht="14.5" x14ac:dyDescent="0.35">
      <c r="A319" s="1"/>
      <c r="B319" s="5"/>
      <c r="C319" s="1"/>
    </row>
    <row r="320" spans="1:3" ht="16.5" customHeight="1" x14ac:dyDescent="0.35">
      <c r="A320" s="1"/>
      <c r="B320" s="2" t="s">
        <v>263</v>
      </c>
      <c r="C320" s="1"/>
    </row>
    <row r="321" spans="1:3" ht="15" customHeight="1" x14ac:dyDescent="0.35">
      <c r="A321" s="1"/>
      <c r="B321" s="86" t="s">
        <v>264</v>
      </c>
      <c r="C321" s="79"/>
    </row>
    <row r="322" spans="1:3" ht="14.5" x14ac:dyDescent="0.35">
      <c r="A322" s="1"/>
      <c r="B322" s="5" t="s">
        <v>250</v>
      </c>
      <c r="C322" s="1"/>
    </row>
    <row r="323" spans="1:3" ht="14.5" x14ac:dyDescent="0.35">
      <c r="A323" s="1"/>
      <c r="B323" s="5"/>
      <c r="C323" s="1"/>
    </row>
    <row r="324" spans="1:3" ht="27" customHeight="1" x14ac:dyDescent="0.35">
      <c r="A324" s="1"/>
      <c r="B324" s="87" t="s">
        <v>64</v>
      </c>
      <c r="C324" s="79"/>
    </row>
    <row r="325" spans="1:3" ht="33" customHeight="1" x14ac:dyDescent="0.35">
      <c r="A325" s="1"/>
      <c r="B325" s="93" t="s">
        <v>265</v>
      </c>
      <c r="C325" s="79"/>
    </row>
    <row r="326" spans="1:3" ht="14.5" x14ac:dyDescent="0.35">
      <c r="A326" s="1"/>
      <c r="B326" s="94" t="s">
        <v>266</v>
      </c>
      <c r="C326" s="79"/>
    </row>
    <row r="327" spans="1:3" ht="14.5" x14ac:dyDescent="0.35">
      <c r="A327" s="1"/>
      <c r="B327" s="10"/>
      <c r="C327" s="10"/>
    </row>
    <row r="328" spans="1:3" ht="33" customHeight="1" x14ac:dyDescent="0.35">
      <c r="A328" s="1"/>
      <c r="B328" s="87" t="s">
        <v>267</v>
      </c>
      <c r="C328" s="79"/>
    </row>
    <row r="329" spans="1:3" ht="14.5" x14ac:dyDescent="0.35">
      <c r="A329" s="1"/>
      <c r="B329" s="93" t="s">
        <v>268</v>
      </c>
      <c r="C329" s="79"/>
    </row>
    <row r="330" spans="1:3" ht="14.5" x14ac:dyDescent="0.35">
      <c r="A330" s="1"/>
      <c r="B330" s="94" t="s">
        <v>266</v>
      </c>
      <c r="C330" s="79"/>
    </row>
    <row r="331" spans="1:3" ht="14.5" x14ac:dyDescent="0.35">
      <c r="A331" s="1"/>
      <c r="B331" s="10"/>
      <c r="C331" s="10"/>
    </row>
    <row r="332" spans="1:3" ht="14.5" x14ac:dyDescent="0.35">
      <c r="A332" s="1"/>
      <c r="B332" s="3" t="s">
        <v>47</v>
      </c>
      <c r="C332" s="1"/>
    </row>
    <row r="333" spans="1:3" ht="14.5" x14ac:dyDescent="0.35">
      <c r="A333" s="1"/>
      <c r="B333" s="5" t="s">
        <v>269</v>
      </c>
      <c r="C333" s="1"/>
    </row>
    <row r="334" spans="1:3" ht="14.5" x14ac:dyDescent="0.35">
      <c r="A334" s="1"/>
      <c r="B334" s="5" t="s">
        <v>176</v>
      </c>
      <c r="C334" s="1"/>
    </row>
    <row r="335" spans="1:3" ht="14.5" x14ac:dyDescent="0.35">
      <c r="A335" s="1"/>
      <c r="B335" s="5"/>
      <c r="C335" s="1"/>
    </row>
    <row r="336" spans="1:3" ht="14.4" customHeight="1" x14ac:dyDescent="0.35">
      <c r="A336" s="1"/>
      <c r="B336" s="80" t="s">
        <v>48</v>
      </c>
      <c r="C336" s="79"/>
    </row>
    <row r="337" spans="1:3" ht="14.5" x14ac:dyDescent="0.35">
      <c r="A337" s="1"/>
      <c r="B337" s="5" t="s">
        <v>270</v>
      </c>
      <c r="C337" s="1"/>
    </row>
    <row r="338" spans="1:3" ht="14.5" x14ac:dyDescent="0.35">
      <c r="A338" s="1"/>
      <c r="B338" s="5" t="s">
        <v>271</v>
      </c>
      <c r="C338" s="1"/>
    </row>
    <row r="339" spans="1:3" ht="14.5" x14ac:dyDescent="0.35">
      <c r="A339" s="1"/>
      <c r="B339" s="5"/>
      <c r="C339" s="1"/>
    </row>
    <row r="340" spans="1:3" ht="14.5" x14ac:dyDescent="0.35">
      <c r="A340" s="1"/>
      <c r="B340" s="3" t="s">
        <v>49</v>
      </c>
      <c r="C340" s="1"/>
    </row>
    <row r="341" spans="1:3" ht="14.5" x14ac:dyDescent="0.35">
      <c r="A341" s="1"/>
      <c r="B341" s="5" t="s">
        <v>272</v>
      </c>
      <c r="C341" s="1"/>
    </row>
    <row r="342" spans="1:3" ht="14.5" x14ac:dyDescent="0.35">
      <c r="A342" s="1"/>
      <c r="B342" s="5" t="s">
        <v>174</v>
      </c>
      <c r="C342" s="1"/>
    </row>
    <row r="343" spans="1:3" ht="14.5" x14ac:dyDescent="0.35">
      <c r="A343" s="1"/>
      <c r="B343" s="1"/>
      <c r="C343" s="1"/>
    </row>
    <row r="344" spans="1:3" ht="14.5" x14ac:dyDescent="0.35">
      <c r="A344" s="1"/>
      <c r="B344" s="2" t="s">
        <v>50</v>
      </c>
      <c r="C344" s="1"/>
    </row>
    <row r="345" spans="1:3" ht="14.5" x14ac:dyDescent="0.35">
      <c r="A345" s="1"/>
      <c r="B345" s="5" t="s">
        <v>273</v>
      </c>
      <c r="C345" s="1"/>
    </row>
    <row r="346" spans="1:3" ht="14.5" x14ac:dyDescent="0.35">
      <c r="A346" s="1"/>
      <c r="B346" s="5" t="s">
        <v>274</v>
      </c>
      <c r="C346" s="1"/>
    </row>
    <row r="347" spans="1:3" ht="14.5" x14ac:dyDescent="0.35">
      <c r="A347" s="1"/>
      <c r="B347" s="4"/>
      <c r="C347" s="1"/>
    </row>
    <row r="348" spans="1:3" ht="14.5" x14ac:dyDescent="0.35">
      <c r="A348" s="1"/>
      <c r="B348" s="34" t="s">
        <v>2</v>
      </c>
      <c r="C348" s="1"/>
    </row>
    <row r="349" spans="1:3" ht="14.5" x14ac:dyDescent="0.35">
      <c r="A349" s="1"/>
      <c r="B349" s="5"/>
      <c r="C349" s="1"/>
    </row>
    <row r="350" spans="1:3" ht="14.5" x14ac:dyDescent="0.35">
      <c r="A350" s="1"/>
      <c r="B350" s="34" t="s">
        <v>275</v>
      </c>
      <c r="C350" s="1"/>
    </row>
  </sheetData>
  <mergeCells count="74">
    <mergeCell ref="B336:C336"/>
    <mergeCell ref="B326:C326"/>
    <mergeCell ref="B293:C293"/>
    <mergeCell ref="B330:C330"/>
    <mergeCell ref="B313:C313"/>
    <mergeCell ref="B325:C325"/>
    <mergeCell ref="B296:C296"/>
    <mergeCell ref="B324:C324"/>
    <mergeCell ref="B305:C305"/>
    <mergeCell ref="B329:C329"/>
    <mergeCell ref="B328:C328"/>
    <mergeCell ref="B321:C321"/>
    <mergeCell ref="B301:C301"/>
    <mergeCell ref="B309:C309"/>
    <mergeCell ref="B316:C316"/>
    <mergeCell ref="B312:C312"/>
    <mergeCell ref="B289:C289"/>
    <mergeCell ref="B284:C284"/>
    <mergeCell ref="B285:C285"/>
    <mergeCell ref="B184:C184"/>
    <mergeCell ref="B276:C276"/>
    <mergeCell ref="B228:C228"/>
    <mergeCell ref="B272:C272"/>
    <mergeCell ref="B232:C232"/>
    <mergeCell ref="B208:C208"/>
    <mergeCell ref="B200:C200"/>
    <mergeCell ref="B108:C108"/>
    <mergeCell ref="B2:C2"/>
    <mergeCell ref="B44:C44"/>
    <mergeCell ref="B38:C38"/>
    <mergeCell ref="B9:C9"/>
    <mergeCell ref="B7:C7"/>
    <mergeCell ref="B53:C53"/>
    <mergeCell ref="B87:C87"/>
    <mergeCell ref="B86:C86"/>
    <mergeCell ref="B106:C106"/>
    <mergeCell ref="B56:C56"/>
    <mergeCell ref="B65:C65"/>
    <mergeCell ref="B68:C68"/>
    <mergeCell ref="B79:C79"/>
    <mergeCell ref="B73:C73"/>
    <mergeCell ref="B90:C90"/>
    <mergeCell ref="B114:C114"/>
    <mergeCell ref="B204:C204"/>
    <mergeCell ref="B308:C308"/>
    <mergeCell ref="B288:C288"/>
    <mergeCell ref="B304:C304"/>
    <mergeCell ref="B118:C118"/>
    <mergeCell ref="B300:C300"/>
    <mergeCell ref="B216:C216"/>
    <mergeCell ref="B188:C188"/>
    <mergeCell ref="B144:C144"/>
    <mergeCell ref="B192:C192"/>
    <mergeCell ref="B140:C140"/>
    <mergeCell ref="B292:C292"/>
    <mergeCell ref="B236:C236"/>
    <mergeCell ref="B280:C280"/>
    <mergeCell ref="B148:C148"/>
    <mergeCell ref="B297:C297"/>
    <mergeCell ref="B180:C180"/>
    <mergeCell ref="B196:C196"/>
    <mergeCell ref="B34:C34"/>
    <mergeCell ref="B41:C41"/>
    <mergeCell ref="B212:C212"/>
    <mergeCell ref="B168:C168"/>
    <mergeCell ref="B176:C176"/>
    <mergeCell ref="B91:C91"/>
    <mergeCell ref="B98:C98"/>
    <mergeCell ref="B152:C152"/>
    <mergeCell ref="B111:C111"/>
    <mergeCell ref="B107:C107"/>
    <mergeCell ref="B109:C109"/>
    <mergeCell ref="B110:C110"/>
    <mergeCell ref="B164:C164"/>
  </mergeCells>
  <hyperlinks>
    <hyperlink ref="B7" r:id="rId1" display="METeOR identifier 775643" xr:uid="{00000000-0004-0000-0100-000000000000}"/>
    <hyperlink ref="B9" r:id="rId2" display="METeOR identifier 775634" xr:uid="{00000000-0004-0000-0100-000001000000}"/>
    <hyperlink ref="B20" r:id="rId3" display="https://www.aihw.gov.au/reports-data/myhospitals/content/about-the-data" xr:uid="{00000000-0004-0000-0100-000002000000}"/>
    <hyperlink ref="B22" r:id="rId4" xr:uid="{00000000-0004-0000-0100-000003000000}"/>
    <hyperlink ref="C22" r:id="rId5" display="Australian hospital peer groups (AIHW 2015)" xr:uid="{00000000-0004-0000-0100-000004000000}"/>
    <hyperlink ref="B35" r:id="rId6" display="METeOR identifier 799771" xr:uid="{00000000-0004-0000-0100-000005000000}"/>
    <hyperlink ref="B50" r:id="rId7" display="METeOR identifier 799815" xr:uid="{00000000-0004-0000-0100-000006000000}"/>
    <hyperlink ref="B65" r:id="rId8" display="METeOR identifier 602543" xr:uid="{00000000-0004-0000-0100-000007000000}"/>
    <hyperlink ref="B69" r:id="rId9" display="METeOR identifier 747315" xr:uid="{00000000-0004-0000-0100-000008000000}"/>
    <hyperlink ref="B70" r:id="rId10" display="Australian Statistical Geography Standard (ASGS): Volume 5 - Remoteness Structure" xr:uid="{00000000-0004-0000-0100-000009000000}"/>
    <hyperlink ref="B74" r:id="rId11" xr:uid="{00000000-0004-0000-0100-00000A000000}"/>
    <hyperlink ref="B78" r:id="rId12" display="METeOR identifier 799764" xr:uid="{00000000-0004-0000-0100-00000B000000}"/>
    <hyperlink ref="B83" r:id="rId13" display="METeOR identifier 746114" xr:uid="{00000000-0004-0000-0100-00000C000000}"/>
    <hyperlink ref="B87" r:id="rId14" display="METeOR identifier 764919" xr:uid="{00000000-0004-0000-0100-00000D000000}"/>
    <hyperlink ref="B91" r:id="rId15" display="METeOR identifier 796802" xr:uid="{00000000-0004-0000-0100-00000E000000}"/>
    <hyperlink ref="B98" r:id="rId16" xr:uid="{00000000-0004-0000-0100-00000F000000}"/>
    <hyperlink ref="B103" r:id="rId17" display="https://www.aihw.gov.au/reports-data/myhospitals/content/about-the-data" xr:uid="{00000000-0004-0000-0100-000010000000}"/>
    <hyperlink ref="B118" r:id="rId18" xr:uid="{00000000-0004-0000-0100-000011000000}"/>
    <hyperlink ref="B348" location="Contents!A1" display="Contents" xr:uid="{00000000-0004-0000-0100-000012000000}"/>
    <hyperlink ref="B350" location="'Technical specifications'!A1" display="Back to top" xr:uid="{00000000-0004-0000-0100-000013000000}"/>
  </hyperlinks>
  <pageMargins left="0.7" right="0.7" top="0.75" bottom="0.75" header="0.3" footer="0.3"/>
  <pageSetup paperSize="9" scale="66" orientation="portrait"/>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5"/>
  <sheetViews>
    <sheetView workbookViewId="0">
      <selection sqref="A1:H1"/>
    </sheetView>
  </sheetViews>
  <sheetFormatPr defaultRowHeight="14.75" customHeight="1" x14ac:dyDescent="0.35"/>
  <cols>
    <col min="1" max="1" width="54" customWidth="1"/>
    <col min="2" max="8" width="11.1796875" customWidth="1"/>
  </cols>
  <sheetData>
    <row r="1" spans="1:8" ht="33.75" customHeight="1" x14ac:dyDescent="0.35">
      <c r="A1" s="96" t="s">
        <v>5</v>
      </c>
      <c r="B1" s="97"/>
      <c r="C1" s="97"/>
      <c r="D1" s="97"/>
      <c r="E1" s="97"/>
      <c r="F1" s="97"/>
      <c r="G1" s="97"/>
      <c r="H1" s="97"/>
    </row>
    <row r="2" spans="1:8" ht="43" x14ac:dyDescent="0.35">
      <c r="A2" s="36" t="s">
        <v>276</v>
      </c>
      <c r="B2" s="37" t="s">
        <v>277</v>
      </c>
      <c r="C2" s="37" t="s">
        <v>278</v>
      </c>
      <c r="D2" s="37" t="s">
        <v>279</v>
      </c>
      <c r="E2" s="37" t="s">
        <v>280</v>
      </c>
      <c r="F2" s="37" t="s">
        <v>281</v>
      </c>
      <c r="G2" s="37" t="s">
        <v>282</v>
      </c>
      <c r="H2" s="37" t="s">
        <v>283</v>
      </c>
    </row>
    <row r="3" spans="1:8" ht="14.5" x14ac:dyDescent="0.35">
      <c r="A3" s="38" t="s">
        <v>284</v>
      </c>
      <c r="B3" s="39">
        <v>3003035</v>
      </c>
      <c r="C3" s="39">
        <v>2976170</v>
      </c>
      <c r="D3" s="39">
        <v>2962544</v>
      </c>
      <c r="E3" s="39">
        <v>3000231</v>
      </c>
      <c r="F3" s="39">
        <v>3035239</v>
      </c>
      <c r="G3" s="40">
        <v>0.3</v>
      </c>
      <c r="H3" s="40">
        <v>1.17</v>
      </c>
    </row>
    <row r="4" spans="1:8" ht="14.5" x14ac:dyDescent="0.35">
      <c r="A4" s="38" t="s">
        <v>285</v>
      </c>
      <c r="B4" s="39">
        <v>3338476</v>
      </c>
      <c r="C4" s="39">
        <v>3306285</v>
      </c>
      <c r="D4" s="39">
        <v>3283660</v>
      </c>
      <c r="E4" s="39">
        <v>3366763</v>
      </c>
      <c r="F4" s="39">
        <v>3374048</v>
      </c>
      <c r="G4" s="40">
        <v>0.3</v>
      </c>
      <c r="H4" s="40">
        <v>0.22</v>
      </c>
    </row>
    <row r="5" spans="1:8" ht="14.5" x14ac:dyDescent="0.35">
      <c r="A5" s="38" t="s">
        <v>286</v>
      </c>
      <c r="B5" s="39">
        <v>1425146</v>
      </c>
      <c r="C5" s="39">
        <v>1447314</v>
      </c>
      <c r="D5" s="39">
        <v>1447346</v>
      </c>
      <c r="E5" s="39">
        <v>1482255</v>
      </c>
      <c r="F5" s="39">
        <v>1502828</v>
      </c>
      <c r="G5" s="40">
        <v>1.3</v>
      </c>
      <c r="H5" s="40">
        <v>1.39</v>
      </c>
    </row>
    <row r="6" spans="1:8" ht="14.5" x14ac:dyDescent="0.35">
      <c r="A6" s="38" t="s">
        <v>287</v>
      </c>
      <c r="B6" s="39">
        <v>826361</v>
      </c>
      <c r="C6" s="39">
        <v>834834</v>
      </c>
      <c r="D6" s="39">
        <v>886940</v>
      </c>
      <c r="E6" s="39">
        <v>932632</v>
      </c>
      <c r="F6" s="39">
        <v>943614</v>
      </c>
      <c r="G6" s="40">
        <v>3.4</v>
      </c>
      <c r="H6" s="40">
        <v>1.18</v>
      </c>
    </row>
    <row r="7" spans="1:8" ht="14.5" x14ac:dyDescent="0.35">
      <c r="A7" s="38" t="s">
        <v>288</v>
      </c>
      <c r="B7" s="39">
        <v>215339</v>
      </c>
      <c r="C7" s="39">
        <v>225274</v>
      </c>
      <c r="D7" s="39">
        <v>220429</v>
      </c>
      <c r="E7" s="39">
        <v>236520</v>
      </c>
      <c r="F7" s="39">
        <v>238583</v>
      </c>
      <c r="G7" s="40">
        <v>2.6</v>
      </c>
      <c r="H7" s="40">
        <v>0.87</v>
      </c>
    </row>
    <row r="8" spans="1:8" ht="14.5" x14ac:dyDescent="0.35">
      <c r="A8" s="41" t="s">
        <v>289</v>
      </c>
      <c r="B8" s="42">
        <v>8808357</v>
      </c>
      <c r="C8" s="42">
        <v>8789877</v>
      </c>
      <c r="D8" s="42">
        <v>8800919</v>
      </c>
      <c r="E8" s="42">
        <v>9018401</v>
      </c>
      <c r="F8" s="42">
        <v>9094312</v>
      </c>
      <c r="G8" s="43">
        <v>0.8</v>
      </c>
      <c r="H8" s="43">
        <v>0.84</v>
      </c>
    </row>
    <row r="9" spans="1:8" ht="14.5" x14ac:dyDescent="0.35">
      <c r="A9" s="44"/>
      <c r="B9" s="35"/>
      <c r="C9" s="35"/>
      <c r="D9" s="35"/>
      <c r="E9" s="35"/>
      <c r="F9" s="35"/>
      <c r="G9" s="35"/>
      <c r="H9" s="35"/>
    </row>
    <row r="10" spans="1:8" ht="14.5" x14ac:dyDescent="0.35">
      <c r="A10" s="35" t="s">
        <v>290</v>
      </c>
      <c r="B10" s="35"/>
      <c r="C10" s="35"/>
      <c r="D10" s="35"/>
      <c r="E10" s="35"/>
      <c r="F10" s="35"/>
      <c r="G10" s="35"/>
      <c r="H10" s="35"/>
    </row>
    <row r="11" spans="1:8" ht="14.5" x14ac:dyDescent="0.35">
      <c r="A11" s="45" t="s">
        <v>291</v>
      </c>
      <c r="B11" s="35"/>
      <c r="C11" s="35"/>
      <c r="D11" s="35"/>
      <c r="E11" s="35"/>
      <c r="F11" s="35"/>
      <c r="G11" s="35"/>
      <c r="H11" s="35"/>
    </row>
    <row r="12" spans="1:8" ht="14.5" x14ac:dyDescent="0.35">
      <c r="A12" s="35"/>
      <c r="B12" s="35"/>
      <c r="C12" s="35"/>
      <c r="D12" s="35"/>
      <c r="E12" s="35"/>
      <c r="F12" s="35"/>
      <c r="G12" s="35"/>
      <c r="H12" s="35"/>
    </row>
    <row r="13" spans="1:8" ht="14.5" x14ac:dyDescent="0.35">
      <c r="A13" s="45" t="s">
        <v>3</v>
      </c>
      <c r="B13" s="35"/>
      <c r="C13" s="35"/>
      <c r="D13" s="35"/>
      <c r="E13" s="35"/>
      <c r="F13" s="35"/>
      <c r="G13" s="35"/>
      <c r="H13" s="35"/>
    </row>
    <row r="14" spans="1:8" ht="14.5" x14ac:dyDescent="0.35">
      <c r="A14" s="35"/>
      <c r="B14" s="35"/>
      <c r="C14" s="35"/>
      <c r="D14" s="35"/>
      <c r="E14" s="35"/>
      <c r="F14" s="35"/>
      <c r="G14" s="35"/>
      <c r="H14" s="35"/>
    </row>
    <row r="15" spans="1:8" ht="14.5" x14ac:dyDescent="0.35">
      <c r="A15" s="45" t="s">
        <v>292</v>
      </c>
      <c r="B15" s="35"/>
      <c r="C15" s="35"/>
      <c r="D15" s="35"/>
      <c r="E15" s="35"/>
      <c r="F15" s="35"/>
      <c r="G15" s="35"/>
      <c r="H15" s="35"/>
    </row>
  </sheetData>
  <mergeCells count="1">
    <mergeCell ref="A1:H1"/>
  </mergeCells>
  <hyperlinks>
    <hyperlink ref="A11" r:id="rId1" xr:uid="{00000000-0004-0000-0200-000000000000}"/>
    <hyperlink ref="A13" location="'Technical specifications'!A1" display="Technical specifications" xr:uid="{00000000-0004-0000-0200-000001000000}"/>
    <hyperlink ref="A15" location="Contents!A1" display="Back to contents"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7"/>
  <sheetViews>
    <sheetView workbookViewId="0">
      <selection sqref="A1:I1"/>
    </sheetView>
  </sheetViews>
  <sheetFormatPr defaultRowHeight="14.75" customHeight="1" x14ac:dyDescent="0.35"/>
  <cols>
    <col min="1" max="1" width="15" customWidth="1"/>
    <col min="2" max="2" width="42" customWidth="1"/>
    <col min="3" max="9" width="11.1796875" customWidth="1"/>
  </cols>
  <sheetData>
    <row r="1" spans="1:9" ht="33.75" customHeight="1" x14ac:dyDescent="0.35">
      <c r="A1" s="96" t="s">
        <v>6</v>
      </c>
      <c r="B1" s="97"/>
      <c r="C1" s="97"/>
      <c r="D1" s="97"/>
      <c r="E1" s="97"/>
      <c r="F1" s="97"/>
      <c r="G1" s="97"/>
      <c r="H1" s="97"/>
      <c r="I1" s="97"/>
    </row>
    <row r="2" spans="1:9" ht="43" x14ac:dyDescent="0.35">
      <c r="A2" s="36" t="s">
        <v>293</v>
      </c>
      <c r="B2" s="36" t="s">
        <v>294</v>
      </c>
      <c r="C2" s="37" t="s">
        <v>277</v>
      </c>
      <c r="D2" s="37" t="s">
        <v>278</v>
      </c>
      <c r="E2" s="37" t="s">
        <v>279</v>
      </c>
      <c r="F2" s="37" t="s">
        <v>280</v>
      </c>
      <c r="G2" s="37" t="s">
        <v>281</v>
      </c>
      <c r="H2" s="37" t="s">
        <v>282</v>
      </c>
      <c r="I2" s="37" t="s">
        <v>283</v>
      </c>
    </row>
    <row r="3" spans="1:9" ht="14.5" x14ac:dyDescent="0.35">
      <c r="A3" s="38" t="s">
        <v>295</v>
      </c>
      <c r="B3" s="38" t="s">
        <v>296</v>
      </c>
      <c r="C3" s="39">
        <v>3068572</v>
      </c>
      <c r="D3" s="39">
        <v>3012992</v>
      </c>
      <c r="E3" s="39">
        <v>3076083</v>
      </c>
      <c r="F3" s="39">
        <v>3178428</v>
      </c>
      <c r="G3" s="39">
        <v>3160473</v>
      </c>
      <c r="H3" s="40">
        <v>0.7</v>
      </c>
      <c r="I3" s="40">
        <v>-0.56000000000000005</v>
      </c>
    </row>
    <row r="4" spans="1:9" ht="14.5" x14ac:dyDescent="0.35">
      <c r="A4" s="38" t="s">
        <v>297</v>
      </c>
      <c r="B4" s="38" t="s">
        <v>296</v>
      </c>
      <c r="C4" s="39">
        <v>1772359</v>
      </c>
      <c r="D4" s="39">
        <v>1856312</v>
      </c>
      <c r="E4" s="39">
        <v>1894732</v>
      </c>
      <c r="F4" s="39">
        <v>1923674</v>
      </c>
      <c r="G4" s="39">
        <v>1978267</v>
      </c>
      <c r="H4" s="40">
        <v>2.8</v>
      </c>
      <c r="I4" s="40">
        <v>2.84</v>
      </c>
    </row>
    <row r="5" spans="1:9" ht="14.5" x14ac:dyDescent="0.35">
      <c r="A5" s="38" t="s">
        <v>298</v>
      </c>
      <c r="B5" s="38" t="s">
        <v>296</v>
      </c>
      <c r="C5" s="39">
        <v>1887381</v>
      </c>
      <c r="D5" s="39">
        <v>1867860</v>
      </c>
      <c r="E5" s="39">
        <v>1735935</v>
      </c>
      <c r="F5" s="39">
        <v>1770087</v>
      </c>
      <c r="G5" s="39">
        <v>1766839</v>
      </c>
      <c r="H5" s="40">
        <v>-1.6</v>
      </c>
      <c r="I5" s="40">
        <v>-0.18</v>
      </c>
    </row>
    <row r="6" spans="1:9" ht="14.5" x14ac:dyDescent="0.35">
      <c r="A6" s="38" t="s">
        <v>299</v>
      </c>
      <c r="B6" s="38" t="s">
        <v>296</v>
      </c>
      <c r="C6" s="39">
        <v>997816</v>
      </c>
      <c r="D6" s="39">
        <v>991522</v>
      </c>
      <c r="E6" s="39">
        <v>994112</v>
      </c>
      <c r="F6" s="39">
        <v>1022259</v>
      </c>
      <c r="G6" s="39">
        <v>1027017</v>
      </c>
      <c r="H6" s="40">
        <v>0.7</v>
      </c>
      <c r="I6" s="40">
        <v>0.47</v>
      </c>
    </row>
    <row r="7" spans="1:9" ht="14.5" x14ac:dyDescent="0.35">
      <c r="A7" s="38" t="s">
        <v>300</v>
      </c>
      <c r="B7" s="38" t="s">
        <v>296</v>
      </c>
      <c r="C7" s="39">
        <v>580575</v>
      </c>
      <c r="D7" s="39">
        <v>572886</v>
      </c>
      <c r="E7" s="39">
        <v>598666</v>
      </c>
      <c r="F7" s="39">
        <v>605725</v>
      </c>
      <c r="G7" s="39">
        <v>622876</v>
      </c>
      <c r="H7" s="40">
        <v>1.8</v>
      </c>
      <c r="I7" s="40">
        <v>2.83</v>
      </c>
    </row>
    <row r="8" spans="1:9" ht="14.5" x14ac:dyDescent="0.35">
      <c r="A8" s="38" t="s">
        <v>301</v>
      </c>
      <c r="B8" s="38" t="s">
        <v>296</v>
      </c>
      <c r="C8" s="39">
        <v>170287</v>
      </c>
      <c r="D8" s="39">
        <v>173276</v>
      </c>
      <c r="E8" s="39">
        <v>173888</v>
      </c>
      <c r="F8" s="39">
        <v>177639</v>
      </c>
      <c r="G8" s="39">
        <v>183120</v>
      </c>
      <c r="H8" s="40">
        <v>1.8</v>
      </c>
      <c r="I8" s="40">
        <v>3.09</v>
      </c>
    </row>
    <row r="9" spans="1:9" ht="14.5" x14ac:dyDescent="0.35">
      <c r="A9" s="38" t="s">
        <v>302</v>
      </c>
      <c r="B9" s="38" t="s">
        <v>296</v>
      </c>
      <c r="C9" s="39">
        <v>153713</v>
      </c>
      <c r="D9" s="39">
        <v>143693</v>
      </c>
      <c r="E9" s="39">
        <v>145718</v>
      </c>
      <c r="F9" s="39">
        <v>156029</v>
      </c>
      <c r="G9" s="39">
        <v>167603</v>
      </c>
      <c r="H9" s="40">
        <v>2.2000000000000002</v>
      </c>
      <c r="I9" s="40">
        <v>7.42</v>
      </c>
    </row>
    <row r="10" spans="1:9" ht="14.5" x14ac:dyDescent="0.35">
      <c r="A10" s="38" t="s">
        <v>303</v>
      </c>
      <c r="B10" s="38" t="s">
        <v>296</v>
      </c>
      <c r="C10" s="39">
        <v>177654</v>
      </c>
      <c r="D10" s="39">
        <v>171336</v>
      </c>
      <c r="E10" s="39">
        <v>181785</v>
      </c>
      <c r="F10" s="39">
        <v>184560</v>
      </c>
      <c r="G10" s="39">
        <v>188117</v>
      </c>
      <c r="H10" s="40">
        <v>1.4</v>
      </c>
      <c r="I10" s="40">
        <v>1.93</v>
      </c>
    </row>
    <row r="11" spans="1:9" ht="14.5" x14ac:dyDescent="0.35">
      <c r="A11" s="46" t="s">
        <v>304</v>
      </c>
      <c r="B11" s="46" t="s">
        <v>296</v>
      </c>
      <c r="C11" s="47">
        <v>8808357</v>
      </c>
      <c r="D11" s="47">
        <v>8789877</v>
      </c>
      <c r="E11" s="47">
        <v>8800919</v>
      </c>
      <c r="F11" s="47">
        <v>9018401</v>
      </c>
      <c r="G11" s="47">
        <v>9094312</v>
      </c>
      <c r="H11" s="48">
        <v>0.8</v>
      </c>
      <c r="I11" s="48">
        <v>0.84</v>
      </c>
    </row>
    <row r="12" spans="1:9" ht="14.5" x14ac:dyDescent="0.35">
      <c r="A12" s="38" t="s">
        <v>295</v>
      </c>
      <c r="B12" s="38" t="s">
        <v>305</v>
      </c>
      <c r="C12" s="40">
        <v>371.64432269000002</v>
      </c>
      <c r="D12" s="40">
        <v>365.61964768000001</v>
      </c>
      <c r="E12" s="40">
        <v>367.62231577</v>
      </c>
      <c r="F12" s="40">
        <v>370.94358067000002</v>
      </c>
      <c r="G12" s="40">
        <v>361.50445891999999</v>
      </c>
      <c r="H12" s="40">
        <v>-0.7</v>
      </c>
      <c r="I12" s="40">
        <v>-2.54</v>
      </c>
    </row>
    <row r="13" spans="1:9" ht="14.5" x14ac:dyDescent="0.35">
      <c r="A13" s="38" t="s">
        <v>297</v>
      </c>
      <c r="B13" s="38" t="s">
        <v>305</v>
      </c>
      <c r="C13" s="40">
        <v>263.09864206999998</v>
      </c>
      <c r="D13" s="40">
        <v>279.63263253000002</v>
      </c>
      <c r="E13" s="40">
        <v>282.00618209999999</v>
      </c>
      <c r="F13" s="40">
        <v>277.31715341</v>
      </c>
      <c r="G13" s="40">
        <v>278.67500057000001</v>
      </c>
      <c r="H13" s="40">
        <v>1.4</v>
      </c>
      <c r="I13" s="40">
        <v>0.49</v>
      </c>
    </row>
    <row r="14" spans="1:9" ht="14.5" x14ac:dyDescent="0.35">
      <c r="A14" s="38" t="s">
        <v>298</v>
      </c>
      <c r="B14" s="38" t="s">
        <v>305</v>
      </c>
      <c r="C14" s="40">
        <v>365.4726637</v>
      </c>
      <c r="D14" s="40">
        <v>359.25656666999998</v>
      </c>
      <c r="E14" s="40">
        <v>325.67284912000002</v>
      </c>
      <c r="F14" s="40">
        <v>322.16988485000002</v>
      </c>
      <c r="G14" s="40">
        <v>313.08507995999997</v>
      </c>
      <c r="H14" s="40">
        <v>-3.8</v>
      </c>
      <c r="I14" s="40">
        <v>-2.82</v>
      </c>
    </row>
    <row r="15" spans="1:9" ht="14.5" x14ac:dyDescent="0.35">
      <c r="A15" s="38" t="s">
        <v>299</v>
      </c>
      <c r="B15" s="38" t="s">
        <v>305</v>
      </c>
      <c r="C15" s="40">
        <v>366.78297244999999</v>
      </c>
      <c r="D15" s="40">
        <v>360.63142049999999</v>
      </c>
      <c r="E15" s="40">
        <v>354.83567403000001</v>
      </c>
      <c r="F15" s="40">
        <v>351.59559445000002</v>
      </c>
      <c r="G15" s="40">
        <v>342.75388175000001</v>
      </c>
      <c r="H15" s="40">
        <v>-1.7</v>
      </c>
      <c r="I15" s="40">
        <v>-2.5099999999999998</v>
      </c>
    </row>
    <row r="16" spans="1:9" ht="14.5" x14ac:dyDescent="0.35">
      <c r="A16" s="38" t="s">
        <v>300</v>
      </c>
      <c r="B16" s="38" t="s">
        <v>305</v>
      </c>
      <c r="C16" s="40">
        <v>319.17095577999999</v>
      </c>
      <c r="D16" s="40">
        <v>313.20563131</v>
      </c>
      <c r="E16" s="40">
        <v>323.44892358999999</v>
      </c>
      <c r="F16" s="40">
        <v>319.63030515000003</v>
      </c>
      <c r="G16" s="40">
        <v>323.68477041</v>
      </c>
      <c r="H16" s="40">
        <v>0.4</v>
      </c>
      <c r="I16" s="40">
        <v>1.27</v>
      </c>
    </row>
    <row r="17" spans="1:9" ht="14.5" x14ac:dyDescent="0.35">
      <c r="A17" s="38" t="s">
        <v>301</v>
      </c>
      <c r="B17" s="38" t="s">
        <v>305</v>
      </c>
      <c r="C17" s="40">
        <v>304.0248138</v>
      </c>
      <c r="D17" s="40">
        <v>305.25536110000002</v>
      </c>
      <c r="E17" s="40">
        <v>303.01081935000002</v>
      </c>
      <c r="F17" s="40">
        <v>306.87560959000001</v>
      </c>
      <c r="G17" s="40">
        <v>314.22101749000001</v>
      </c>
      <c r="H17" s="40">
        <v>0.8</v>
      </c>
      <c r="I17" s="40">
        <v>2.39</v>
      </c>
    </row>
    <row r="18" spans="1:9" ht="14.5" x14ac:dyDescent="0.35">
      <c r="A18" s="38" t="s">
        <v>302</v>
      </c>
      <c r="B18" s="38" t="s">
        <v>305</v>
      </c>
      <c r="C18" s="40">
        <v>346.04428403999998</v>
      </c>
      <c r="D18" s="40">
        <v>317.40308573999999</v>
      </c>
      <c r="E18" s="40">
        <v>316.85396551999997</v>
      </c>
      <c r="F18" s="40">
        <v>332.36315216000003</v>
      </c>
      <c r="G18" s="40">
        <v>350.82214714000003</v>
      </c>
      <c r="H18" s="40">
        <v>0.3</v>
      </c>
      <c r="I18" s="40">
        <v>5.55</v>
      </c>
    </row>
    <row r="19" spans="1:9" ht="14.5" x14ac:dyDescent="0.35">
      <c r="A19" s="38" t="s">
        <v>303</v>
      </c>
      <c r="B19" s="38" t="s">
        <v>305</v>
      </c>
      <c r="C19" s="40">
        <v>738.79398685000001</v>
      </c>
      <c r="D19" s="40">
        <v>707.79031623000003</v>
      </c>
      <c r="E19" s="40">
        <v>737.25743861000001</v>
      </c>
      <c r="F19" s="40">
        <v>735.57566109000004</v>
      </c>
      <c r="G19" s="40">
        <v>739.51156066999999</v>
      </c>
      <c r="H19" s="40">
        <v>0</v>
      </c>
      <c r="I19" s="40">
        <v>0.54</v>
      </c>
    </row>
    <row r="20" spans="1:9" ht="14.5" x14ac:dyDescent="0.35">
      <c r="A20" s="41" t="s">
        <v>304</v>
      </c>
      <c r="B20" s="41" t="s">
        <v>305</v>
      </c>
      <c r="C20" s="43">
        <v>339.56369332999998</v>
      </c>
      <c r="D20" s="43">
        <v>339.13250436999999</v>
      </c>
      <c r="E20" s="43">
        <v>333.89844197999997</v>
      </c>
      <c r="F20" s="43">
        <v>332.65278145000002</v>
      </c>
      <c r="G20" s="43">
        <v>327.92270504999999</v>
      </c>
      <c r="H20" s="43">
        <v>-0.9</v>
      </c>
      <c r="I20" s="43">
        <v>-1.42</v>
      </c>
    </row>
    <row r="21" spans="1:9" ht="14.5" x14ac:dyDescent="0.35">
      <c r="A21" s="44"/>
      <c r="B21" s="35"/>
      <c r="C21" s="35"/>
      <c r="D21" s="35"/>
      <c r="E21" s="35"/>
      <c r="F21" s="35"/>
      <c r="G21" s="35"/>
      <c r="H21" s="35"/>
      <c r="I21" s="35"/>
    </row>
    <row r="22" spans="1:9" ht="14.5" x14ac:dyDescent="0.35">
      <c r="A22" s="35" t="s">
        <v>290</v>
      </c>
      <c r="B22" s="35"/>
      <c r="C22" s="35"/>
      <c r="D22" s="35"/>
      <c r="E22" s="35"/>
      <c r="F22" s="35"/>
      <c r="G22" s="35"/>
      <c r="H22" s="35"/>
      <c r="I22" s="35"/>
    </row>
    <row r="23" spans="1:9" ht="14.5" x14ac:dyDescent="0.35">
      <c r="A23" s="45" t="s">
        <v>291</v>
      </c>
      <c r="B23" s="35"/>
      <c r="C23" s="35"/>
      <c r="D23" s="35"/>
      <c r="E23" s="35"/>
      <c r="F23" s="35"/>
      <c r="G23" s="35"/>
      <c r="H23" s="35"/>
      <c r="I23" s="35"/>
    </row>
    <row r="24" spans="1:9" ht="14.5" x14ac:dyDescent="0.35">
      <c r="A24" s="35"/>
      <c r="B24" s="35"/>
      <c r="C24" s="35"/>
      <c r="D24" s="35"/>
      <c r="E24" s="35"/>
      <c r="F24" s="35"/>
      <c r="G24" s="35"/>
      <c r="H24" s="35"/>
      <c r="I24" s="35"/>
    </row>
    <row r="25" spans="1:9" ht="14.5" x14ac:dyDescent="0.35">
      <c r="A25" s="45" t="s">
        <v>3</v>
      </c>
      <c r="B25" s="35"/>
      <c r="C25" s="35"/>
      <c r="D25" s="35"/>
      <c r="E25" s="35"/>
      <c r="F25" s="35"/>
      <c r="G25" s="35"/>
      <c r="H25" s="35"/>
      <c r="I25" s="35"/>
    </row>
    <row r="26" spans="1:9" ht="14.5" x14ac:dyDescent="0.35">
      <c r="A26" s="35"/>
      <c r="B26" s="35"/>
      <c r="C26" s="35"/>
      <c r="D26" s="35"/>
      <c r="E26" s="35"/>
      <c r="F26" s="35"/>
      <c r="G26" s="35"/>
      <c r="H26" s="35"/>
      <c r="I26" s="35"/>
    </row>
    <row r="27" spans="1:9" ht="14.5" x14ac:dyDescent="0.35">
      <c r="A27" s="45" t="s">
        <v>292</v>
      </c>
      <c r="B27" s="35"/>
      <c r="C27" s="35"/>
      <c r="D27" s="35"/>
      <c r="E27" s="35"/>
      <c r="F27" s="35"/>
      <c r="G27" s="35"/>
      <c r="H27" s="35"/>
      <c r="I27" s="35"/>
    </row>
  </sheetData>
  <mergeCells count="1">
    <mergeCell ref="A1:I1"/>
  </mergeCells>
  <hyperlinks>
    <hyperlink ref="A23" r:id="rId1" xr:uid="{00000000-0004-0000-0300-000000000000}"/>
    <hyperlink ref="A25" location="'Technical specifications'!A1" display="Technical specifications" xr:uid="{00000000-0004-0000-0300-000001000000}"/>
    <hyperlink ref="A27" location="Contents!A1" display="Back to contents" xr:uid="{00000000-0004-0000-03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21"/>
  <sheetViews>
    <sheetView workbookViewId="0">
      <selection sqref="A1:K1"/>
    </sheetView>
  </sheetViews>
  <sheetFormatPr defaultRowHeight="14.75" customHeight="1" x14ac:dyDescent="0.35"/>
  <cols>
    <col min="1" max="1" width="54" customWidth="1"/>
    <col min="2" max="2" width="23" customWidth="1"/>
    <col min="3" max="11" width="8.453125" customWidth="1"/>
  </cols>
  <sheetData>
    <row r="1" spans="1:11" ht="33.75" customHeight="1" x14ac:dyDescent="0.35">
      <c r="A1" s="96" t="s">
        <v>7</v>
      </c>
      <c r="B1" s="97"/>
      <c r="C1" s="97"/>
      <c r="D1" s="97"/>
      <c r="E1" s="97"/>
      <c r="F1" s="97"/>
      <c r="G1" s="97"/>
      <c r="H1" s="97"/>
      <c r="I1" s="97"/>
      <c r="J1" s="97"/>
      <c r="K1" s="97"/>
    </row>
    <row r="2" spans="1:11" ht="14.5" x14ac:dyDescent="0.35">
      <c r="A2" s="36" t="s">
        <v>276</v>
      </c>
      <c r="B2" s="36" t="s">
        <v>294</v>
      </c>
      <c r="C2" s="37" t="s">
        <v>295</v>
      </c>
      <c r="D2" s="37" t="s">
        <v>297</v>
      </c>
      <c r="E2" s="37" t="s">
        <v>298</v>
      </c>
      <c r="F2" s="37" t="s">
        <v>299</v>
      </c>
      <c r="G2" s="37" t="s">
        <v>300</v>
      </c>
      <c r="H2" s="37" t="s">
        <v>301</v>
      </c>
      <c r="I2" s="37" t="s">
        <v>302</v>
      </c>
      <c r="J2" s="37" t="s">
        <v>303</v>
      </c>
      <c r="K2" s="37" t="s">
        <v>304</v>
      </c>
    </row>
    <row r="3" spans="1:11" ht="14.5" x14ac:dyDescent="0.35">
      <c r="A3" s="38" t="s">
        <v>284</v>
      </c>
      <c r="B3" s="38" t="s">
        <v>296</v>
      </c>
      <c r="C3" s="39">
        <v>934737</v>
      </c>
      <c r="D3" s="39">
        <v>620687</v>
      </c>
      <c r="E3" s="39">
        <v>665927</v>
      </c>
      <c r="F3" s="39">
        <v>351475</v>
      </c>
      <c r="G3" s="39">
        <v>211149</v>
      </c>
      <c r="H3" s="39">
        <v>78797</v>
      </c>
      <c r="I3" s="39">
        <v>103584</v>
      </c>
      <c r="J3" s="39">
        <v>68883</v>
      </c>
      <c r="K3" s="39">
        <v>3035239</v>
      </c>
    </row>
    <row r="4" spans="1:11" ht="14.5" x14ac:dyDescent="0.35">
      <c r="A4" s="38" t="s">
        <v>285</v>
      </c>
      <c r="B4" s="38" t="s">
        <v>296</v>
      </c>
      <c r="C4" s="39">
        <v>1069033</v>
      </c>
      <c r="D4" s="39">
        <v>878851</v>
      </c>
      <c r="E4" s="39">
        <v>769108</v>
      </c>
      <c r="F4" s="39">
        <v>303916</v>
      </c>
      <c r="G4" s="39">
        <v>168787</v>
      </c>
      <c r="H4" s="39">
        <v>74063</v>
      </c>
      <c r="I4" s="39">
        <v>64019</v>
      </c>
      <c r="J4" s="39">
        <v>46271</v>
      </c>
      <c r="K4" s="39">
        <v>3374048</v>
      </c>
    </row>
    <row r="5" spans="1:11" ht="14.5" x14ac:dyDescent="0.35">
      <c r="A5" s="38" t="s">
        <v>286</v>
      </c>
      <c r="B5" s="38" t="s">
        <v>296</v>
      </c>
      <c r="C5" s="39">
        <v>547200</v>
      </c>
      <c r="D5" s="39">
        <v>301764</v>
      </c>
      <c r="E5" s="39">
        <v>331804</v>
      </c>
      <c r="F5" s="39">
        <v>193566</v>
      </c>
      <c r="G5" s="39">
        <v>98234</v>
      </c>
      <c r="H5" s="39">
        <v>30260</v>
      </c>
      <c r="I5" s="39" t="s">
        <v>1278</v>
      </c>
      <c r="J5" s="39" t="s">
        <v>1278</v>
      </c>
      <c r="K5" s="39">
        <v>1502828</v>
      </c>
    </row>
    <row r="6" spans="1:11" ht="14.5" x14ac:dyDescent="0.35">
      <c r="A6" s="38" t="s">
        <v>287</v>
      </c>
      <c r="B6" s="38" t="s">
        <v>296</v>
      </c>
      <c r="C6" s="39">
        <v>427883</v>
      </c>
      <c r="D6" s="39">
        <v>120002</v>
      </c>
      <c r="E6" s="39" t="s">
        <v>1278</v>
      </c>
      <c r="F6" s="39">
        <v>178060</v>
      </c>
      <c r="G6" s="39">
        <v>144706</v>
      </c>
      <c r="H6" s="39" t="s">
        <v>1278</v>
      </c>
      <c r="I6" s="39" t="s">
        <v>1278</v>
      </c>
      <c r="J6" s="39">
        <v>72963</v>
      </c>
      <c r="K6" s="39">
        <v>943614</v>
      </c>
    </row>
    <row r="7" spans="1:11" ht="14.5" x14ac:dyDescent="0.35">
      <c r="A7" s="38" t="s">
        <v>288</v>
      </c>
      <c r="B7" s="38" t="s">
        <v>296</v>
      </c>
      <c r="C7" s="39">
        <v>181620</v>
      </c>
      <c r="D7" s="39">
        <v>56963</v>
      </c>
      <c r="E7" s="39" t="s">
        <v>1278</v>
      </c>
      <c r="F7" s="39" t="s">
        <v>1278</v>
      </c>
      <c r="G7" s="39" t="s">
        <v>1278</v>
      </c>
      <c r="H7" s="39" t="s">
        <v>1278</v>
      </c>
      <c r="I7" s="39" t="s">
        <v>1278</v>
      </c>
      <c r="J7" s="39" t="s">
        <v>1278</v>
      </c>
      <c r="K7" s="39">
        <v>238583</v>
      </c>
    </row>
    <row r="8" spans="1:11" ht="14.5" x14ac:dyDescent="0.35">
      <c r="A8" s="46" t="s">
        <v>289</v>
      </c>
      <c r="B8" s="46" t="s">
        <v>296</v>
      </c>
      <c r="C8" s="47">
        <v>3160473</v>
      </c>
      <c r="D8" s="47">
        <v>1978267</v>
      </c>
      <c r="E8" s="47">
        <v>1766839</v>
      </c>
      <c r="F8" s="47">
        <v>1027017</v>
      </c>
      <c r="G8" s="47">
        <v>622876</v>
      </c>
      <c r="H8" s="47">
        <v>183120</v>
      </c>
      <c r="I8" s="47">
        <v>167603</v>
      </c>
      <c r="J8" s="47">
        <v>188117</v>
      </c>
      <c r="K8" s="47">
        <v>9094312</v>
      </c>
    </row>
    <row r="9" spans="1:11" ht="14.5" x14ac:dyDescent="0.35">
      <c r="A9" s="38" t="s">
        <v>284</v>
      </c>
      <c r="B9" s="38" t="s">
        <v>306</v>
      </c>
      <c r="C9" s="40">
        <v>29.575900000000001</v>
      </c>
      <c r="D9" s="40">
        <v>31.375299999999999</v>
      </c>
      <c r="E9" s="40">
        <v>37.690300000000001</v>
      </c>
      <c r="F9" s="40">
        <v>34.222900000000003</v>
      </c>
      <c r="G9" s="40">
        <v>33.899000000000001</v>
      </c>
      <c r="H9" s="40">
        <v>43.030299999999997</v>
      </c>
      <c r="I9" s="40">
        <v>61.803199999999997</v>
      </c>
      <c r="J9" s="40">
        <v>36.617100000000001</v>
      </c>
      <c r="K9" s="40">
        <v>33.375100000000003</v>
      </c>
    </row>
    <row r="10" spans="1:11" ht="14.5" x14ac:dyDescent="0.35">
      <c r="A10" s="38" t="s">
        <v>285</v>
      </c>
      <c r="B10" s="38" t="s">
        <v>306</v>
      </c>
      <c r="C10" s="40">
        <v>33.825099999999999</v>
      </c>
      <c r="D10" s="40">
        <v>44.4253</v>
      </c>
      <c r="E10" s="40">
        <v>43.530200000000001</v>
      </c>
      <c r="F10" s="40">
        <v>29.592099999999999</v>
      </c>
      <c r="G10" s="40">
        <v>27.097999999999999</v>
      </c>
      <c r="H10" s="40">
        <v>40.445099999999996</v>
      </c>
      <c r="I10" s="40">
        <v>38.196800000000003</v>
      </c>
      <c r="J10" s="40">
        <v>24.596900000000002</v>
      </c>
      <c r="K10" s="40">
        <v>37.1006</v>
      </c>
    </row>
    <row r="11" spans="1:11" ht="14.5" x14ac:dyDescent="0.35">
      <c r="A11" s="38" t="s">
        <v>286</v>
      </c>
      <c r="B11" s="38" t="s">
        <v>306</v>
      </c>
      <c r="C11" s="40">
        <v>17.3139</v>
      </c>
      <c r="D11" s="40">
        <v>15.254</v>
      </c>
      <c r="E11" s="40">
        <v>18.779499999999999</v>
      </c>
      <c r="F11" s="40">
        <v>18.8474</v>
      </c>
      <c r="G11" s="40">
        <v>15.771000000000001</v>
      </c>
      <c r="H11" s="40">
        <v>16.524699999999999</v>
      </c>
      <c r="I11" s="40" t="s">
        <v>1278</v>
      </c>
      <c r="J11" s="40" t="s">
        <v>1278</v>
      </c>
      <c r="K11" s="40">
        <v>16.524899999999999</v>
      </c>
    </row>
    <row r="12" spans="1:11" ht="14.5" x14ac:dyDescent="0.35">
      <c r="A12" s="38" t="s">
        <v>287</v>
      </c>
      <c r="B12" s="38" t="s">
        <v>306</v>
      </c>
      <c r="C12" s="40">
        <v>13.538600000000001</v>
      </c>
      <c r="D12" s="40">
        <v>6.0659999999999998</v>
      </c>
      <c r="E12" s="40" t="s">
        <v>1278</v>
      </c>
      <c r="F12" s="40">
        <v>17.337599999999998</v>
      </c>
      <c r="G12" s="40">
        <v>23.2319</v>
      </c>
      <c r="H12" s="40" t="s">
        <v>1278</v>
      </c>
      <c r="I12" s="40" t="s">
        <v>1278</v>
      </c>
      <c r="J12" s="40">
        <v>38.786000000000001</v>
      </c>
      <c r="K12" s="40">
        <v>10.3759</v>
      </c>
    </row>
    <row r="13" spans="1:11" ht="14.5" x14ac:dyDescent="0.35">
      <c r="A13" s="38" t="s">
        <v>288</v>
      </c>
      <c r="B13" s="38" t="s">
        <v>306</v>
      </c>
      <c r="C13" s="40">
        <v>5.7465999999999999</v>
      </c>
      <c r="D13" s="40">
        <v>2.8794</v>
      </c>
      <c r="E13" s="40" t="s">
        <v>1278</v>
      </c>
      <c r="F13" s="40" t="s">
        <v>1278</v>
      </c>
      <c r="G13" s="40" t="s">
        <v>1278</v>
      </c>
      <c r="H13" s="40" t="s">
        <v>1278</v>
      </c>
      <c r="I13" s="40" t="s">
        <v>1278</v>
      </c>
      <c r="J13" s="40" t="s">
        <v>1278</v>
      </c>
      <c r="K13" s="40">
        <v>2.6234000000000002</v>
      </c>
    </row>
    <row r="14" spans="1:11" ht="14.5" x14ac:dyDescent="0.35">
      <c r="A14" s="41" t="s">
        <v>289</v>
      </c>
      <c r="B14" s="41" t="s">
        <v>306</v>
      </c>
      <c r="C14" s="43">
        <v>100</v>
      </c>
      <c r="D14" s="43">
        <v>100</v>
      </c>
      <c r="E14" s="43">
        <v>100</v>
      </c>
      <c r="F14" s="43">
        <v>100</v>
      </c>
      <c r="G14" s="43">
        <v>100</v>
      </c>
      <c r="H14" s="43">
        <v>100</v>
      </c>
      <c r="I14" s="43">
        <v>100</v>
      </c>
      <c r="J14" s="43">
        <v>100</v>
      </c>
      <c r="K14" s="43">
        <v>100</v>
      </c>
    </row>
    <row r="15" spans="1:11" ht="14.5" x14ac:dyDescent="0.35">
      <c r="A15" s="44"/>
      <c r="B15" s="35"/>
      <c r="C15" s="35"/>
      <c r="D15" s="35"/>
      <c r="E15" s="35"/>
      <c r="F15" s="35"/>
      <c r="G15" s="35"/>
      <c r="H15" s="35"/>
      <c r="I15" s="35"/>
      <c r="J15" s="35"/>
      <c r="K15" s="35"/>
    </row>
    <row r="16" spans="1:11" ht="14.5" x14ac:dyDescent="0.35">
      <c r="A16" s="35" t="s">
        <v>290</v>
      </c>
      <c r="B16" s="35"/>
      <c r="C16" s="35"/>
      <c r="D16" s="35"/>
      <c r="E16" s="35"/>
      <c r="F16" s="35"/>
      <c r="G16" s="35"/>
      <c r="H16" s="35"/>
      <c r="I16" s="35"/>
      <c r="J16" s="35"/>
      <c r="K16" s="35"/>
    </row>
    <row r="17" spans="1:11" ht="14.5" x14ac:dyDescent="0.35">
      <c r="A17" s="45" t="s">
        <v>291</v>
      </c>
      <c r="B17" s="35"/>
      <c r="C17" s="35"/>
      <c r="D17" s="35"/>
      <c r="E17" s="35"/>
      <c r="F17" s="35"/>
      <c r="G17" s="35"/>
      <c r="H17" s="35"/>
      <c r="I17" s="35"/>
      <c r="J17" s="35"/>
      <c r="K17" s="35"/>
    </row>
    <row r="18" spans="1:11" ht="14.5" x14ac:dyDescent="0.35">
      <c r="A18" s="35"/>
      <c r="B18" s="35"/>
      <c r="C18" s="35"/>
      <c r="D18" s="35"/>
      <c r="E18" s="35"/>
      <c r="F18" s="35"/>
      <c r="G18" s="35"/>
      <c r="H18" s="35"/>
      <c r="I18" s="35"/>
      <c r="J18" s="35"/>
      <c r="K18" s="35"/>
    </row>
    <row r="19" spans="1:11" ht="14.5" x14ac:dyDescent="0.35">
      <c r="A19" s="45" t="s">
        <v>3</v>
      </c>
      <c r="B19" s="35"/>
      <c r="C19" s="35"/>
      <c r="D19" s="35"/>
      <c r="E19" s="35"/>
      <c r="F19" s="35"/>
      <c r="G19" s="35"/>
      <c r="H19" s="35"/>
      <c r="I19" s="35"/>
      <c r="J19" s="35"/>
      <c r="K19" s="35"/>
    </row>
    <row r="20" spans="1:11" ht="14.5" x14ac:dyDescent="0.35">
      <c r="A20" s="35"/>
      <c r="B20" s="35"/>
      <c r="C20" s="35"/>
      <c r="D20" s="35"/>
      <c r="E20" s="35"/>
      <c r="F20" s="35"/>
      <c r="G20" s="35"/>
      <c r="H20" s="35"/>
      <c r="I20" s="35"/>
      <c r="J20" s="35"/>
      <c r="K20" s="35"/>
    </row>
    <row r="21" spans="1:11" ht="14.5" x14ac:dyDescent="0.35">
      <c r="A21" s="45" t="s">
        <v>292</v>
      </c>
      <c r="B21" s="35"/>
      <c r="C21" s="35"/>
      <c r="D21" s="35"/>
      <c r="E21" s="35"/>
      <c r="F21" s="35"/>
      <c r="G21" s="35"/>
      <c r="H21" s="35"/>
      <c r="I21" s="35"/>
      <c r="J21" s="35"/>
      <c r="K21" s="35"/>
    </row>
  </sheetData>
  <mergeCells count="1">
    <mergeCell ref="A1:K1"/>
  </mergeCells>
  <hyperlinks>
    <hyperlink ref="A17" r:id="rId1" xr:uid="{00000000-0004-0000-0400-000000000000}"/>
    <hyperlink ref="A19" location="'Technical specifications'!A1" display="Technical specifications" xr:uid="{00000000-0004-0000-0400-000001000000}"/>
    <hyperlink ref="A21" location="Contents!A1" display="Back to contents" xr:uid="{00000000-0004-0000-04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39"/>
  <sheetViews>
    <sheetView workbookViewId="0">
      <selection sqref="A1:K1"/>
    </sheetView>
  </sheetViews>
  <sheetFormatPr defaultRowHeight="14.75" customHeight="1" x14ac:dyDescent="0.35"/>
  <cols>
    <col min="1" max="1" width="8.453125" customWidth="1"/>
    <col min="2" max="2" width="9" customWidth="1"/>
    <col min="3" max="11" width="8.453125" customWidth="1"/>
  </cols>
  <sheetData>
    <row r="1" spans="1:11" ht="33.75" customHeight="1" x14ac:dyDescent="0.35">
      <c r="A1" s="96" t="s">
        <v>9</v>
      </c>
      <c r="B1" s="97"/>
      <c r="C1" s="97"/>
      <c r="D1" s="97"/>
      <c r="E1" s="97"/>
      <c r="F1" s="97"/>
      <c r="G1" s="97"/>
      <c r="H1" s="97"/>
      <c r="I1" s="97"/>
      <c r="J1" s="97"/>
      <c r="K1" s="97"/>
    </row>
    <row r="2" spans="1:11" ht="14.5" x14ac:dyDescent="0.35">
      <c r="A2" s="36" t="s">
        <v>307</v>
      </c>
      <c r="B2" s="36" t="s">
        <v>308</v>
      </c>
      <c r="C2" s="37" t="s">
        <v>295</v>
      </c>
      <c r="D2" s="37" t="s">
        <v>297</v>
      </c>
      <c r="E2" s="37" t="s">
        <v>298</v>
      </c>
      <c r="F2" s="37" t="s">
        <v>299</v>
      </c>
      <c r="G2" s="37" t="s">
        <v>300</v>
      </c>
      <c r="H2" s="57" t="s">
        <v>1279</v>
      </c>
      <c r="I2" s="37" t="s">
        <v>302</v>
      </c>
      <c r="J2" s="37" t="s">
        <v>303</v>
      </c>
      <c r="K2" s="37" t="s">
        <v>304</v>
      </c>
    </row>
    <row r="3" spans="1:11" ht="14.5" x14ac:dyDescent="0.35">
      <c r="A3" s="38" t="s">
        <v>309</v>
      </c>
      <c r="B3" s="38" t="s">
        <v>310</v>
      </c>
      <c r="C3" s="39">
        <v>171812</v>
      </c>
      <c r="D3" s="39">
        <v>109668</v>
      </c>
      <c r="E3" s="39">
        <v>97787</v>
      </c>
      <c r="F3" s="39">
        <v>59532</v>
      </c>
      <c r="G3" s="39">
        <v>34951</v>
      </c>
      <c r="H3" s="39">
        <v>7716</v>
      </c>
      <c r="I3" s="39">
        <v>9345</v>
      </c>
      <c r="J3" s="39">
        <v>9260</v>
      </c>
      <c r="K3" s="39">
        <v>500071</v>
      </c>
    </row>
    <row r="4" spans="1:11" ht="14.5" x14ac:dyDescent="0.35">
      <c r="A4" s="38" t="s">
        <v>309</v>
      </c>
      <c r="B4" s="38" t="s">
        <v>311</v>
      </c>
      <c r="C4" s="39">
        <v>164802</v>
      </c>
      <c r="D4" s="39">
        <v>99439</v>
      </c>
      <c r="E4" s="39">
        <v>87764</v>
      </c>
      <c r="F4" s="39">
        <v>59263</v>
      </c>
      <c r="G4" s="39">
        <v>31117</v>
      </c>
      <c r="H4" s="39">
        <v>7955</v>
      </c>
      <c r="I4" s="39">
        <v>8813</v>
      </c>
      <c r="J4" s="39">
        <v>8001</v>
      </c>
      <c r="K4" s="39">
        <v>467154</v>
      </c>
    </row>
    <row r="5" spans="1:11" ht="14.5" x14ac:dyDescent="0.35">
      <c r="A5" s="38" t="s">
        <v>309</v>
      </c>
      <c r="B5" s="38" t="s">
        <v>312</v>
      </c>
      <c r="C5" s="39">
        <v>172904</v>
      </c>
      <c r="D5" s="39">
        <v>98275</v>
      </c>
      <c r="E5" s="39">
        <v>99673</v>
      </c>
      <c r="F5" s="39">
        <v>54545</v>
      </c>
      <c r="G5" s="39">
        <v>30243</v>
      </c>
      <c r="H5" s="39">
        <v>9877</v>
      </c>
      <c r="I5" s="39">
        <v>9355</v>
      </c>
      <c r="J5" s="39">
        <v>9652</v>
      </c>
      <c r="K5" s="39">
        <v>484524</v>
      </c>
    </row>
    <row r="6" spans="1:11" ht="14.5" x14ac:dyDescent="0.35">
      <c r="A6" s="38" t="s">
        <v>309</v>
      </c>
      <c r="B6" s="38" t="s">
        <v>313</v>
      </c>
      <c r="C6" s="39">
        <v>177347</v>
      </c>
      <c r="D6" s="39">
        <v>111657</v>
      </c>
      <c r="E6" s="39">
        <v>100864</v>
      </c>
      <c r="F6" s="39">
        <v>60249</v>
      </c>
      <c r="G6" s="39">
        <v>32428</v>
      </c>
      <c r="H6" s="39">
        <v>10262</v>
      </c>
      <c r="I6" s="39">
        <v>9409</v>
      </c>
      <c r="J6" s="39">
        <v>12547</v>
      </c>
      <c r="K6" s="39">
        <v>514763</v>
      </c>
    </row>
    <row r="7" spans="1:11" ht="14.5" x14ac:dyDescent="0.35">
      <c r="A7" s="38" t="s">
        <v>309</v>
      </c>
      <c r="B7" s="38" t="s">
        <v>314</v>
      </c>
      <c r="C7" s="39">
        <v>166763</v>
      </c>
      <c r="D7" s="39">
        <v>109923</v>
      </c>
      <c r="E7" s="39">
        <v>98075</v>
      </c>
      <c r="F7" s="39">
        <v>59852</v>
      </c>
      <c r="G7" s="39">
        <v>32285</v>
      </c>
      <c r="H7" s="39">
        <v>9435</v>
      </c>
      <c r="I7" s="39">
        <v>9683</v>
      </c>
      <c r="J7" s="39">
        <v>13075</v>
      </c>
      <c r="K7" s="39">
        <v>499091</v>
      </c>
    </row>
    <row r="8" spans="1:11" ht="14.5" x14ac:dyDescent="0.35">
      <c r="A8" s="38" t="s">
        <v>309</v>
      </c>
      <c r="B8" s="38" t="s">
        <v>315</v>
      </c>
      <c r="C8" s="39">
        <v>159327</v>
      </c>
      <c r="D8" s="39">
        <v>100886</v>
      </c>
      <c r="E8" s="39">
        <v>93622</v>
      </c>
      <c r="F8" s="39">
        <v>52185</v>
      </c>
      <c r="G8" s="39">
        <v>30353</v>
      </c>
      <c r="H8" s="39">
        <v>8960</v>
      </c>
      <c r="I8" s="39">
        <v>8528</v>
      </c>
      <c r="J8" s="39">
        <v>12410</v>
      </c>
      <c r="K8" s="39">
        <v>466271</v>
      </c>
    </row>
    <row r="9" spans="1:11" ht="14.5" x14ac:dyDescent="0.35">
      <c r="A9" s="38" t="s">
        <v>309</v>
      </c>
      <c r="B9" s="38" t="s">
        <v>316</v>
      </c>
      <c r="C9" s="39">
        <v>164543</v>
      </c>
      <c r="D9" s="39">
        <v>100489</v>
      </c>
      <c r="E9" s="39">
        <v>90089</v>
      </c>
      <c r="F9" s="39">
        <v>50121</v>
      </c>
      <c r="G9" s="39">
        <v>32161</v>
      </c>
      <c r="H9" s="39">
        <v>10077</v>
      </c>
      <c r="I9" s="39">
        <v>7086</v>
      </c>
      <c r="J9" s="39">
        <v>11782</v>
      </c>
      <c r="K9" s="39">
        <v>466348</v>
      </c>
    </row>
    <row r="10" spans="1:11" ht="14.5" x14ac:dyDescent="0.35">
      <c r="A10" s="38" t="s">
        <v>309</v>
      </c>
      <c r="B10" s="38" t="s">
        <v>317</v>
      </c>
      <c r="C10" s="39">
        <v>163999</v>
      </c>
      <c r="D10" s="39">
        <v>94719</v>
      </c>
      <c r="E10" s="39">
        <v>84622</v>
      </c>
      <c r="F10" s="39">
        <v>46059</v>
      </c>
      <c r="G10" s="39">
        <v>31353</v>
      </c>
      <c r="H10" s="39">
        <v>10200</v>
      </c>
      <c r="I10" s="39">
        <v>7079</v>
      </c>
      <c r="J10" s="39">
        <v>7236</v>
      </c>
      <c r="K10" s="39">
        <v>445267</v>
      </c>
    </row>
    <row r="11" spans="1:11" ht="14.5" x14ac:dyDescent="0.35">
      <c r="A11" s="38" t="s">
        <v>309</v>
      </c>
      <c r="B11" s="38" t="s">
        <v>318</v>
      </c>
      <c r="C11" s="39">
        <v>156959</v>
      </c>
      <c r="D11" s="39">
        <v>88329</v>
      </c>
      <c r="E11" s="39">
        <v>79026</v>
      </c>
      <c r="F11" s="39">
        <v>41249</v>
      </c>
      <c r="G11" s="39">
        <v>29849</v>
      </c>
      <c r="H11" s="39">
        <v>9607</v>
      </c>
      <c r="I11" s="39">
        <v>6716</v>
      </c>
      <c r="J11" s="39">
        <v>4192</v>
      </c>
      <c r="K11" s="39">
        <v>415927</v>
      </c>
    </row>
    <row r="12" spans="1:11" ht="14.5" x14ac:dyDescent="0.35">
      <c r="A12" s="38" t="s">
        <v>309</v>
      </c>
      <c r="B12" s="38" t="s">
        <v>319</v>
      </c>
      <c r="C12" s="39">
        <v>51758</v>
      </c>
      <c r="D12" s="39">
        <v>28916</v>
      </c>
      <c r="E12" s="39">
        <v>23556</v>
      </c>
      <c r="F12" s="39">
        <v>13097</v>
      </c>
      <c r="G12" s="39">
        <v>10314</v>
      </c>
      <c r="H12" s="39">
        <v>2856</v>
      </c>
      <c r="I12" s="39">
        <v>2160</v>
      </c>
      <c r="J12" s="39">
        <v>715</v>
      </c>
      <c r="K12" s="39">
        <v>133372</v>
      </c>
    </row>
    <row r="13" spans="1:11" ht="14.5" x14ac:dyDescent="0.35">
      <c r="A13" s="38" t="s">
        <v>309</v>
      </c>
      <c r="B13" s="38" t="s">
        <v>320</v>
      </c>
      <c r="C13" s="39">
        <v>24227</v>
      </c>
      <c r="D13" s="39">
        <v>13566</v>
      </c>
      <c r="E13" s="39">
        <v>11067</v>
      </c>
      <c r="F13" s="39">
        <v>6046</v>
      </c>
      <c r="G13" s="39">
        <v>5391</v>
      </c>
      <c r="H13" s="39">
        <v>1216</v>
      </c>
      <c r="I13" s="39">
        <v>991</v>
      </c>
      <c r="J13" s="39">
        <v>225</v>
      </c>
      <c r="K13" s="39">
        <v>62729</v>
      </c>
    </row>
    <row r="14" spans="1:11" ht="14.5" x14ac:dyDescent="0.35">
      <c r="A14" s="38" t="s">
        <v>309</v>
      </c>
      <c r="B14" s="38" t="s">
        <v>321</v>
      </c>
      <c r="C14" s="39">
        <v>6995</v>
      </c>
      <c r="D14" s="39">
        <v>3819</v>
      </c>
      <c r="E14" s="39">
        <v>3040</v>
      </c>
      <c r="F14" s="39">
        <v>1614</v>
      </c>
      <c r="G14" s="39">
        <v>1712</v>
      </c>
      <c r="H14" s="39">
        <v>236</v>
      </c>
      <c r="I14" s="39">
        <v>267</v>
      </c>
      <c r="J14" s="39">
        <v>52</v>
      </c>
      <c r="K14" s="39">
        <v>17735</v>
      </c>
    </row>
    <row r="15" spans="1:11" ht="14.5" x14ac:dyDescent="0.35">
      <c r="A15" s="38" t="s">
        <v>309</v>
      </c>
      <c r="B15" s="58" t="s">
        <v>1280</v>
      </c>
      <c r="C15" s="39">
        <v>1581519</v>
      </c>
      <c r="D15" s="39">
        <v>959686</v>
      </c>
      <c r="E15" s="39">
        <v>869323</v>
      </c>
      <c r="F15" s="39">
        <v>503812</v>
      </c>
      <c r="G15" s="39">
        <v>302161</v>
      </c>
      <c r="H15" s="39">
        <v>88397</v>
      </c>
      <c r="I15" s="39">
        <v>79433</v>
      </c>
      <c r="J15" s="39">
        <v>89147</v>
      </c>
      <c r="K15" s="39">
        <v>4473478</v>
      </c>
    </row>
    <row r="16" spans="1:11" ht="14.5" x14ac:dyDescent="0.35">
      <c r="A16" s="38" t="s">
        <v>322</v>
      </c>
      <c r="B16" s="38" t="s">
        <v>310</v>
      </c>
      <c r="C16" s="39">
        <v>135693</v>
      </c>
      <c r="D16" s="39">
        <v>84380</v>
      </c>
      <c r="E16" s="39">
        <v>77293</v>
      </c>
      <c r="F16" s="39">
        <v>47198</v>
      </c>
      <c r="G16" s="39">
        <v>27166</v>
      </c>
      <c r="H16" s="39">
        <v>6321</v>
      </c>
      <c r="I16" s="39">
        <v>7575</v>
      </c>
      <c r="J16" s="39">
        <v>7371</v>
      </c>
      <c r="K16" s="39">
        <v>392997</v>
      </c>
    </row>
    <row r="17" spans="1:11" ht="14.5" x14ac:dyDescent="0.35">
      <c r="A17" s="38" t="s">
        <v>322</v>
      </c>
      <c r="B17" s="38" t="s">
        <v>311</v>
      </c>
      <c r="C17" s="39">
        <v>129007</v>
      </c>
      <c r="D17" s="39">
        <v>78929</v>
      </c>
      <c r="E17" s="39">
        <v>73375</v>
      </c>
      <c r="F17" s="39">
        <v>49113</v>
      </c>
      <c r="G17" s="39">
        <v>26246</v>
      </c>
      <c r="H17" s="39">
        <v>6824</v>
      </c>
      <c r="I17" s="39">
        <v>7197</v>
      </c>
      <c r="J17" s="39">
        <v>7242</v>
      </c>
      <c r="K17" s="39">
        <v>377933</v>
      </c>
    </row>
    <row r="18" spans="1:11" ht="14.5" x14ac:dyDescent="0.35">
      <c r="A18" s="38" t="s">
        <v>322</v>
      </c>
      <c r="B18" s="38" t="s">
        <v>312</v>
      </c>
      <c r="C18" s="39">
        <v>197927</v>
      </c>
      <c r="D18" s="39">
        <v>121112</v>
      </c>
      <c r="E18" s="39">
        <v>127897</v>
      </c>
      <c r="F18" s="39">
        <v>69197</v>
      </c>
      <c r="G18" s="39">
        <v>40629</v>
      </c>
      <c r="H18" s="39">
        <v>13216</v>
      </c>
      <c r="I18" s="39">
        <v>12056</v>
      </c>
      <c r="J18" s="39">
        <v>12610</v>
      </c>
      <c r="K18" s="39">
        <v>594644</v>
      </c>
    </row>
    <row r="19" spans="1:11" ht="14.5" x14ac:dyDescent="0.35">
      <c r="A19" s="38" t="s">
        <v>322</v>
      </c>
      <c r="B19" s="38" t="s">
        <v>313</v>
      </c>
      <c r="C19" s="39">
        <v>218454</v>
      </c>
      <c r="D19" s="39">
        <v>168831</v>
      </c>
      <c r="E19" s="39">
        <v>133629</v>
      </c>
      <c r="F19" s="39">
        <v>81078</v>
      </c>
      <c r="G19" s="39">
        <v>46133</v>
      </c>
      <c r="H19" s="39">
        <v>13780</v>
      </c>
      <c r="I19" s="39">
        <v>14681</v>
      </c>
      <c r="J19" s="39">
        <v>17684</v>
      </c>
      <c r="K19" s="39">
        <v>694270</v>
      </c>
    </row>
    <row r="20" spans="1:11" ht="14.5" x14ac:dyDescent="0.35">
      <c r="A20" s="38" t="s">
        <v>322</v>
      </c>
      <c r="B20" s="38" t="s">
        <v>314</v>
      </c>
      <c r="C20" s="39">
        <v>176486</v>
      </c>
      <c r="D20" s="39">
        <v>132491</v>
      </c>
      <c r="E20" s="39">
        <v>105982</v>
      </c>
      <c r="F20" s="39">
        <v>68082</v>
      </c>
      <c r="G20" s="39">
        <v>35406</v>
      </c>
      <c r="H20" s="39">
        <v>10906</v>
      </c>
      <c r="I20" s="39">
        <v>11939</v>
      </c>
      <c r="J20" s="39">
        <v>17640</v>
      </c>
      <c r="K20" s="39">
        <v>558932</v>
      </c>
    </row>
    <row r="21" spans="1:11" ht="14.5" x14ac:dyDescent="0.35">
      <c r="A21" s="38" t="s">
        <v>322</v>
      </c>
      <c r="B21" s="38" t="s">
        <v>315</v>
      </c>
      <c r="C21" s="39">
        <v>153238</v>
      </c>
      <c r="D21" s="39">
        <v>98931</v>
      </c>
      <c r="E21" s="39">
        <v>92184</v>
      </c>
      <c r="F21" s="39">
        <v>52610</v>
      </c>
      <c r="G21" s="39">
        <v>30085</v>
      </c>
      <c r="H21" s="39">
        <v>9539</v>
      </c>
      <c r="I21" s="39">
        <v>8491</v>
      </c>
      <c r="J21" s="39">
        <v>15189</v>
      </c>
      <c r="K21" s="39">
        <v>460267</v>
      </c>
    </row>
    <row r="22" spans="1:11" ht="14.5" x14ac:dyDescent="0.35">
      <c r="A22" s="38" t="s">
        <v>322</v>
      </c>
      <c r="B22" s="38" t="s">
        <v>316</v>
      </c>
      <c r="C22" s="39">
        <v>150775</v>
      </c>
      <c r="D22" s="39">
        <v>94288</v>
      </c>
      <c r="E22" s="39">
        <v>82476</v>
      </c>
      <c r="F22" s="39">
        <v>47014</v>
      </c>
      <c r="G22" s="39">
        <v>30500</v>
      </c>
      <c r="H22" s="39">
        <v>9536</v>
      </c>
      <c r="I22" s="39">
        <v>7228</v>
      </c>
      <c r="J22" s="39">
        <v>10236</v>
      </c>
      <c r="K22" s="39">
        <v>432053</v>
      </c>
    </row>
    <row r="23" spans="1:11" ht="14.5" x14ac:dyDescent="0.35">
      <c r="A23" s="38" t="s">
        <v>322</v>
      </c>
      <c r="B23" s="38" t="s">
        <v>317</v>
      </c>
      <c r="C23" s="39">
        <v>153646</v>
      </c>
      <c r="D23" s="39">
        <v>90468</v>
      </c>
      <c r="E23" s="39">
        <v>77875</v>
      </c>
      <c r="F23" s="39">
        <v>43025</v>
      </c>
      <c r="G23" s="39">
        <v>30274</v>
      </c>
      <c r="H23" s="39">
        <v>9481</v>
      </c>
      <c r="I23" s="39">
        <v>6967</v>
      </c>
      <c r="J23" s="39">
        <v>6245</v>
      </c>
      <c r="K23" s="39">
        <v>417981</v>
      </c>
    </row>
    <row r="24" spans="1:11" ht="14.5" x14ac:dyDescent="0.35">
      <c r="A24" s="38" t="s">
        <v>322</v>
      </c>
      <c r="B24" s="38" t="s">
        <v>318</v>
      </c>
      <c r="C24" s="39">
        <v>157027</v>
      </c>
      <c r="D24" s="39">
        <v>90180</v>
      </c>
      <c r="E24" s="39">
        <v>77693</v>
      </c>
      <c r="F24" s="39">
        <v>40117</v>
      </c>
      <c r="G24" s="39">
        <v>31387</v>
      </c>
      <c r="H24" s="39">
        <v>9588</v>
      </c>
      <c r="I24" s="39">
        <v>7265</v>
      </c>
      <c r="J24" s="39">
        <v>3480</v>
      </c>
      <c r="K24" s="39">
        <v>416737</v>
      </c>
    </row>
    <row r="25" spans="1:11" ht="14.5" x14ac:dyDescent="0.35">
      <c r="A25" s="38" t="s">
        <v>322</v>
      </c>
      <c r="B25" s="38" t="s">
        <v>319</v>
      </c>
      <c r="C25" s="39">
        <v>60018</v>
      </c>
      <c r="D25" s="39">
        <v>33920</v>
      </c>
      <c r="E25" s="39">
        <v>27624</v>
      </c>
      <c r="F25" s="39">
        <v>14600</v>
      </c>
      <c r="G25" s="39">
        <v>12599</v>
      </c>
      <c r="H25" s="39">
        <v>3255</v>
      </c>
      <c r="I25" s="39">
        <v>2589</v>
      </c>
      <c r="J25" s="39">
        <v>855</v>
      </c>
      <c r="K25" s="39">
        <v>155460</v>
      </c>
    </row>
    <row r="26" spans="1:11" ht="14.5" x14ac:dyDescent="0.35">
      <c r="A26" s="38" t="s">
        <v>322</v>
      </c>
      <c r="B26" s="38" t="s">
        <v>320</v>
      </c>
      <c r="C26" s="39">
        <v>33330</v>
      </c>
      <c r="D26" s="39">
        <v>18118</v>
      </c>
      <c r="E26" s="39">
        <v>15054</v>
      </c>
      <c r="F26" s="39">
        <v>8145</v>
      </c>
      <c r="G26" s="39">
        <v>7257</v>
      </c>
      <c r="H26" s="39">
        <v>1681</v>
      </c>
      <c r="I26" s="39">
        <v>1431</v>
      </c>
      <c r="J26" s="39">
        <v>257</v>
      </c>
      <c r="K26" s="39">
        <v>85273</v>
      </c>
    </row>
    <row r="27" spans="1:11" ht="14.5" x14ac:dyDescent="0.35">
      <c r="A27" s="38" t="s">
        <v>322</v>
      </c>
      <c r="B27" s="38" t="s">
        <v>321</v>
      </c>
      <c r="C27" s="39">
        <v>12653</v>
      </c>
      <c r="D27" s="39">
        <v>6251</v>
      </c>
      <c r="E27" s="39">
        <v>5629</v>
      </c>
      <c r="F27" s="39">
        <v>2816</v>
      </c>
      <c r="G27" s="39">
        <v>2906</v>
      </c>
      <c r="H27" s="39">
        <v>515</v>
      </c>
      <c r="I27" s="39">
        <v>510</v>
      </c>
      <c r="J27" s="39">
        <v>75</v>
      </c>
      <c r="K27" s="39">
        <v>31355</v>
      </c>
    </row>
    <row r="28" spans="1:11" ht="14.5" x14ac:dyDescent="0.35">
      <c r="A28" s="38" t="s">
        <v>322</v>
      </c>
      <c r="B28" s="58" t="s">
        <v>1280</v>
      </c>
      <c r="C28" s="39">
        <v>1578292</v>
      </c>
      <c r="D28" s="39">
        <v>1017899</v>
      </c>
      <c r="E28" s="39">
        <v>896782</v>
      </c>
      <c r="F28" s="39">
        <v>522995</v>
      </c>
      <c r="G28" s="39">
        <v>320594</v>
      </c>
      <c r="H28" s="39">
        <v>94642</v>
      </c>
      <c r="I28" s="39">
        <v>87929</v>
      </c>
      <c r="J28" s="39">
        <v>98885</v>
      </c>
      <c r="K28" s="39">
        <v>4618018</v>
      </c>
    </row>
    <row r="29" spans="1:11" ht="14.5" x14ac:dyDescent="0.35">
      <c r="A29" s="41" t="s">
        <v>323</v>
      </c>
      <c r="B29" s="59" t="s">
        <v>1281</v>
      </c>
      <c r="C29" s="42">
        <v>3160473</v>
      </c>
      <c r="D29" s="42">
        <v>1978267</v>
      </c>
      <c r="E29" s="42">
        <v>1766839</v>
      </c>
      <c r="F29" s="42">
        <v>1027017</v>
      </c>
      <c r="G29" s="42">
        <v>622876</v>
      </c>
      <c r="H29" s="42">
        <v>183120</v>
      </c>
      <c r="I29" s="42">
        <v>167603</v>
      </c>
      <c r="J29" s="42">
        <v>188117</v>
      </c>
      <c r="K29" s="42">
        <v>9094312</v>
      </c>
    </row>
    <row r="30" spans="1:11" ht="14.5" x14ac:dyDescent="0.35">
      <c r="A30" s="98" t="s">
        <v>324</v>
      </c>
      <c r="B30" s="99"/>
      <c r="C30" s="99"/>
      <c r="D30" s="99"/>
      <c r="E30" s="99"/>
      <c r="F30" s="99"/>
      <c r="G30" s="99"/>
      <c r="H30" s="99"/>
      <c r="I30" s="99"/>
      <c r="J30" s="99"/>
      <c r="K30" s="99"/>
    </row>
    <row r="31" spans="1:11" ht="14.5" x14ac:dyDescent="0.35">
      <c r="A31" s="98" t="s">
        <v>325</v>
      </c>
      <c r="B31" s="99"/>
      <c r="C31" s="99"/>
      <c r="D31" s="99"/>
      <c r="E31" s="99"/>
      <c r="F31" s="99"/>
      <c r="G31" s="99"/>
      <c r="H31" s="99"/>
      <c r="I31" s="99"/>
      <c r="J31" s="99"/>
      <c r="K31" s="99"/>
    </row>
    <row r="32" spans="1:11" ht="14.5" x14ac:dyDescent="0.35">
      <c r="A32" s="98" t="s">
        <v>326</v>
      </c>
      <c r="B32" s="99"/>
      <c r="C32" s="99"/>
      <c r="D32" s="99"/>
      <c r="E32" s="99"/>
      <c r="F32" s="99"/>
      <c r="G32" s="99"/>
      <c r="H32" s="99"/>
      <c r="I32" s="99"/>
      <c r="J32" s="99"/>
      <c r="K32" s="99"/>
    </row>
    <row r="33" spans="1:11" ht="14.5" x14ac:dyDescent="0.35">
      <c r="A33" s="44"/>
      <c r="B33" s="35"/>
      <c r="C33" s="35"/>
      <c r="D33" s="35"/>
      <c r="E33" s="35"/>
      <c r="F33" s="35"/>
      <c r="G33" s="35"/>
      <c r="H33" s="35"/>
      <c r="I33" s="35"/>
      <c r="J33" s="35"/>
      <c r="K33" s="35"/>
    </row>
    <row r="34" spans="1:11" ht="14.5" x14ac:dyDescent="0.35">
      <c r="A34" s="35" t="s">
        <v>290</v>
      </c>
      <c r="B34" s="35"/>
      <c r="C34" s="35"/>
      <c r="D34" s="35"/>
      <c r="E34" s="35"/>
      <c r="F34" s="35"/>
      <c r="G34" s="35"/>
      <c r="H34" s="35"/>
      <c r="I34" s="35"/>
      <c r="J34" s="35"/>
      <c r="K34" s="35"/>
    </row>
    <row r="35" spans="1:11" ht="14.5" x14ac:dyDescent="0.35">
      <c r="A35" s="45" t="s">
        <v>291</v>
      </c>
      <c r="B35" s="35"/>
      <c r="C35" s="35"/>
      <c r="D35" s="35"/>
      <c r="E35" s="35"/>
      <c r="F35" s="35"/>
      <c r="G35" s="35"/>
      <c r="H35" s="35"/>
      <c r="I35" s="35"/>
      <c r="J35" s="35"/>
      <c r="K35" s="35"/>
    </row>
    <row r="36" spans="1:11" ht="14.5" x14ac:dyDescent="0.35">
      <c r="A36" s="35"/>
      <c r="B36" s="35"/>
      <c r="C36" s="35"/>
      <c r="D36" s="35"/>
      <c r="E36" s="35"/>
      <c r="F36" s="35"/>
      <c r="G36" s="35"/>
      <c r="H36" s="35"/>
      <c r="I36" s="35"/>
      <c r="J36" s="35"/>
      <c r="K36" s="35"/>
    </row>
    <row r="37" spans="1:11" ht="14.5" x14ac:dyDescent="0.35">
      <c r="A37" s="45" t="s">
        <v>3</v>
      </c>
      <c r="B37" s="35"/>
      <c r="C37" s="35"/>
      <c r="D37" s="35"/>
      <c r="E37" s="35"/>
      <c r="F37" s="35"/>
      <c r="G37" s="35"/>
      <c r="H37" s="35"/>
      <c r="I37" s="35"/>
      <c r="J37" s="35"/>
      <c r="K37" s="35"/>
    </row>
    <row r="38" spans="1:11" ht="14.5" x14ac:dyDescent="0.35">
      <c r="A38" s="35"/>
      <c r="B38" s="35"/>
      <c r="C38" s="35"/>
      <c r="D38" s="35"/>
      <c r="E38" s="35"/>
      <c r="F38" s="35"/>
      <c r="G38" s="35"/>
      <c r="H38" s="35"/>
      <c r="I38" s="35"/>
      <c r="J38" s="35"/>
      <c r="K38" s="35"/>
    </row>
    <row r="39" spans="1:11" ht="14.5" x14ac:dyDescent="0.35">
      <c r="A39" s="45" t="s">
        <v>292</v>
      </c>
      <c r="B39" s="35"/>
      <c r="C39" s="35"/>
      <c r="D39" s="35"/>
      <c r="E39" s="35"/>
      <c r="F39" s="35"/>
      <c r="G39" s="35"/>
      <c r="H39" s="35"/>
      <c r="I39" s="35"/>
      <c r="J39" s="35"/>
      <c r="K39" s="35"/>
    </row>
  </sheetData>
  <mergeCells count="4">
    <mergeCell ref="A30:K30"/>
    <mergeCell ref="A1:K1"/>
    <mergeCell ref="A32:K32"/>
    <mergeCell ref="A31:K31"/>
  </mergeCells>
  <hyperlinks>
    <hyperlink ref="A35" r:id="rId1" xr:uid="{00000000-0004-0000-0500-000000000000}"/>
    <hyperlink ref="A37" location="'Technical specifications'!A1" display="Technical specifications" xr:uid="{00000000-0004-0000-0500-000001000000}"/>
    <hyperlink ref="A39" location="Contents!A1" display="Back to contents" xr:uid="{00000000-0004-0000-05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24"/>
  <sheetViews>
    <sheetView workbookViewId="0">
      <selection sqref="A1:K1"/>
    </sheetView>
  </sheetViews>
  <sheetFormatPr defaultRowHeight="14.75" customHeight="1" x14ac:dyDescent="0.35"/>
  <cols>
    <col min="1" max="1" width="48" customWidth="1"/>
    <col min="2" max="2" width="42" customWidth="1"/>
    <col min="3" max="11" width="8.453125" customWidth="1"/>
  </cols>
  <sheetData>
    <row r="1" spans="1:11" ht="33.75" customHeight="1" x14ac:dyDescent="0.35">
      <c r="A1" s="96" t="s">
        <v>10</v>
      </c>
      <c r="B1" s="97"/>
      <c r="C1" s="97"/>
      <c r="D1" s="97"/>
      <c r="E1" s="97"/>
      <c r="F1" s="97"/>
      <c r="G1" s="97"/>
      <c r="H1" s="97"/>
      <c r="I1" s="97"/>
      <c r="J1" s="97"/>
      <c r="K1" s="97"/>
    </row>
    <row r="2" spans="1:11" ht="14.5" x14ac:dyDescent="0.35">
      <c r="A2" s="36" t="s">
        <v>327</v>
      </c>
      <c r="B2" s="36" t="s">
        <v>294</v>
      </c>
      <c r="C2" s="37" t="s">
        <v>295</v>
      </c>
      <c r="D2" s="37" t="s">
        <v>297</v>
      </c>
      <c r="E2" s="37" t="s">
        <v>298</v>
      </c>
      <c r="F2" s="37" t="s">
        <v>299</v>
      </c>
      <c r="G2" s="37" t="s">
        <v>300</v>
      </c>
      <c r="H2" s="37" t="s">
        <v>301</v>
      </c>
      <c r="I2" s="37" t="s">
        <v>302</v>
      </c>
      <c r="J2" s="37" t="s">
        <v>303</v>
      </c>
      <c r="K2" s="37" t="s">
        <v>304</v>
      </c>
    </row>
    <row r="3" spans="1:11" ht="14.5" x14ac:dyDescent="0.35">
      <c r="A3" s="38" t="s">
        <v>328</v>
      </c>
      <c r="B3" s="38" t="s">
        <v>296</v>
      </c>
      <c r="C3" s="39">
        <v>280725</v>
      </c>
      <c r="D3" s="39">
        <v>59814</v>
      </c>
      <c r="E3" s="39">
        <v>154243</v>
      </c>
      <c r="F3" s="39">
        <v>130054</v>
      </c>
      <c r="G3" s="39">
        <v>42324</v>
      </c>
      <c r="H3" s="39">
        <v>14744</v>
      </c>
      <c r="I3" s="39">
        <v>7191</v>
      </c>
      <c r="J3" s="39">
        <v>93007</v>
      </c>
      <c r="K3" s="39">
        <v>782102</v>
      </c>
    </row>
    <row r="4" spans="1:11" ht="14.5" x14ac:dyDescent="0.35">
      <c r="A4" s="38" t="s">
        <v>329</v>
      </c>
      <c r="B4" s="38" t="s">
        <v>296</v>
      </c>
      <c r="C4" s="39">
        <v>3805</v>
      </c>
      <c r="D4" s="39">
        <v>1494</v>
      </c>
      <c r="E4" s="39">
        <v>10918</v>
      </c>
      <c r="F4" s="39">
        <v>1071</v>
      </c>
      <c r="G4" s="39">
        <v>672</v>
      </c>
      <c r="H4" s="39">
        <v>458</v>
      </c>
      <c r="I4" s="39">
        <v>159</v>
      </c>
      <c r="J4" s="39">
        <v>663</v>
      </c>
      <c r="K4" s="39">
        <v>19240</v>
      </c>
    </row>
    <row r="5" spans="1:11" ht="14.5" x14ac:dyDescent="0.35">
      <c r="A5" s="38" t="s">
        <v>330</v>
      </c>
      <c r="B5" s="38" t="s">
        <v>296</v>
      </c>
      <c r="C5" s="39">
        <v>8451</v>
      </c>
      <c r="D5" s="39">
        <v>3857</v>
      </c>
      <c r="E5" s="39">
        <v>16738</v>
      </c>
      <c r="F5" s="39">
        <v>4741</v>
      </c>
      <c r="G5" s="39">
        <v>3422</v>
      </c>
      <c r="H5" s="39">
        <v>1455</v>
      </c>
      <c r="I5" s="39">
        <v>330</v>
      </c>
      <c r="J5" s="39">
        <v>2134</v>
      </c>
      <c r="K5" s="39">
        <v>41128</v>
      </c>
    </row>
    <row r="6" spans="1:11" ht="14.5" x14ac:dyDescent="0.35">
      <c r="A6" s="61" t="s">
        <v>333</v>
      </c>
      <c r="B6" s="61" t="s">
        <v>296</v>
      </c>
      <c r="C6" s="62">
        <v>292981</v>
      </c>
      <c r="D6" s="62">
        <v>65165</v>
      </c>
      <c r="E6" s="62">
        <v>181899</v>
      </c>
      <c r="F6" s="62">
        <v>135866</v>
      </c>
      <c r="G6" s="62">
        <v>46418</v>
      </c>
      <c r="H6" s="62">
        <v>16657</v>
      </c>
      <c r="I6" s="62">
        <v>7680</v>
      </c>
      <c r="J6" s="62">
        <v>95804</v>
      </c>
      <c r="K6" s="62">
        <v>842470</v>
      </c>
    </row>
    <row r="7" spans="1:11" ht="14.5" x14ac:dyDescent="0.35">
      <c r="A7" s="58" t="s">
        <v>331</v>
      </c>
      <c r="B7" s="58" t="s">
        <v>296</v>
      </c>
      <c r="C7" s="77">
        <v>2829844</v>
      </c>
      <c r="D7" s="77">
        <v>1899234</v>
      </c>
      <c r="E7" s="77">
        <v>1580147</v>
      </c>
      <c r="F7" s="77">
        <v>887783</v>
      </c>
      <c r="G7" s="77">
        <v>557463</v>
      </c>
      <c r="H7" s="77">
        <v>164512</v>
      </c>
      <c r="I7" s="77">
        <v>157794</v>
      </c>
      <c r="J7" s="77">
        <v>92116</v>
      </c>
      <c r="K7" s="77">
        <v>8168893</v>
      </c>
    </row>
    <row r="8" spans="1:11" ht="14.5" x14ac:dyDescent="0.35">
      <c r="A8" s="38" t="s">
        <v>332</v>
      </c>
      <c r="B8" s="38" t="s">
        <v>296</v>
      </c>
      <c r="C8" s="39">
        <v>37648</v>
      </c>
      <c r="D8" s="39">
        <v>13868</v>
      </c>
      <c r="E8" s="39">
        <v>4793</v>
      </c>
      <c r="F8" s="39">
        <v>3368</v>
      </c>
      <c r="G8" s="39">
        <v>18995</v>
      </c>
      <c r="H8" s="39">
        <v>1951</v>
      </c>
      <c r="I8" s="39">
        <v>2129</v>
      </c>
      <c r="J8" s="39">
        <v>197</v>
      </c>
      <c r="K8" s="39">
        <v>82949</v>
      </c>
    </row>
    <row r="9" spans="1:11" ht="14.5" x14ac:dyDescent="0.35">
      <c r="A9" s="61" t="s">
        <v>1284</v>
      </c>
      <c r="B9" s="61" t="s">
        <v>296</v>
      </c>
      <c r="C9" s="62">
        <v>2867492</v>
      </c>
      <c r="D9" s="62">
        <v>1913102</v>
      </c>
      <c r="E9" s="62">
        <v>1584940</v>
      </c>
      <c r="F9" s="62">
        <v>891151</v>
      </c>
      <c r="G9" s="62">
        <v>576458</v>
      </c>
      <c r="H9" s="62">
        <v>166463</v>
      </c>
      <c r="I9" s="62">
        <v>159923</v>
      </c>
      <c r="J9" s="62">
        <v>92313</v>
      </c>
      <c r="K9" s="62">
        <v>8251842</v>
      </c>
    </row>
    <row r="10" spans="1:11" ht="14.5" x14ac:dyDescent="0.35">
      <c r="A10" s="60" t="s">
        <v>304</v>
      </c>
      <c r="B10" s="46" t="s">
        <v>296</v>
      </c>
      <c r="C10" s="47">
        <v>3160473</v>
      </c>
      <c r="D10" s="47">
        <v>1978267</v>
      </c>
      <c r="E10" s="47">
        <v>1766839</v>
      </c>
      <c r="F10" s="47">
        <v>1027017</v>
      </c>
      <c r="G10" s="47">
        <v>622876</v>
      </c>
      <c r="H10" s="47">
        <v>183120</v>
      </c>
      <c r="I10" s="47">
        <v>167603</v>
      </c>
      <c r="J10" s="47">
        <v>188117</v>
      </c>
      <c r="K10" s="47">
        <v>9094312</v>
      </c>
    </row>
    <row r="11" spans="1:11" ht="14.5" x14ac:dyDescent="0.35">
      <c r="A11" s="38" t="s">
        <v>333</v>
      </c>
      <c r="B11" s="38" t="s">
        <v>305</v>
      </c>
      <c r="C11" s="40">
        <v>896.60202651999998</v>
      </c>
      <c r="D11" s="40">
        <v>867.4735392</v>
      </c>
      <c r="E11" s="40">
        <v>699.94715814999995</v>
      </c>
      <c r="F11" s="40">
        <v>1182.4976534</v>
      </c>
      <c r="G11" s="40">
        <v>936.28109801999994</v>
      </c>
      <c r="H11" s="40">
        <v>535.31494835000001</v>
      </c>
      <c r="I11" s="40">
        <v>873.36633628000004</v>
      </c>
      <c r="J11" s="40">
        <v>1369.1569754</v>
      </c>
      <c r="K11" s="40">
        <v>902.68619389000003</v>
      </c>
    </row>
    <row r="12" spans="1:11" ht="14.5" x14ac:dyDescent="0.35">
      <c r="A12" s="38" t="s">
        <v>334</v>
      </c>
      <c r="B12" s="38" t="s">
        <v>305</v>
      </c>
      <c r="C12" s="40">
        <v>371.50033702000002</v>
      </c>
      <c r="D12" s="40">
        <v>296.62091196</v>
      </c>
      <c r="E12" s="40">
        <v>317.99058130999998</v>
      </c>
      <c r="F12" s="40">
        <v>337.60820946000001</v>
      </c>
      <c r="G12" s="40">
        <v>331.80458715999998</v>
      </c>
      <c r="H12" s="40">
        <v>342.66913575000001</v>
      </c>
      <c r="I12" s="40">
        <v>410.072632</v>
      </c>
      <c r="J12" s="40">
        <v>559.59506865000003</v>
      </c>
      <c r="K12" s="40">
        <v>334.50932454000002</v>
      </c>
    </row>
    <row r="13" spans="1:11" ht="14.5" x14ac:dyDescent="0.35">
      <c r="A13" s="60" t="s">
        <v>304</v>
      </c>
      <c r="B13" s="60" t="s">
        <v>1283</v>
      </c>
      <c r="C13" s="48">
        <v>368.69102000999999</v>
      </c>
      <c r="D13" s="48">
        <v>284.86228535999999</v>
      </c>
      <c r="E13" s="48">
        <v>319.29416505</v>
      </c>
      <c r="F13" s="48">
        <v>353.43350117</v>
      </c>
      <c r="G13" s="48">
        <v>329.75361994000002</v>
      </c>
      <c r="H13" s="48">
        <v>354.12880696000002</v>
      </c>
      <c r="I13" s="48">
        <v>419.28877115</v>
      </c>
      <c r="J13" s="48">
        <v>756.50041942999997</v>
      </c>
      <c r="K13" s="48">
        <v>334.91397056</v>
      </c>
    </row>
    <row r="14" spans="1:11" ht="15" thickBot="1" x14ac:dyDescent="0.4">
      <c r="A14" s="52" t="s">
        <v>304</v>
      </c>
      <c r="B14" s="52" t="s">
        <v>1282</v>
      </c>
      <c r="C14" s="43">
        <v>2.413462215706498</v>
      </c>
      <c r="D14" s="43">
        <v>2.9245191563465385</v>
      </c>
      <c r="E14" s="43">
        <v>2.2011568873093172</v>
      </c>
      <c r="F14" s="43">
        <v>3.5025737534386079</v>
      </c>
      <c r="G14" s="43">
        <v>2.8217846716161112</v>
      </c>
      <c r="H14" s="43">
        <v>1.5621919002957652</v>
      </c>
      <c r="I14" s="43">
        <v>2.1297845018830714</v>
      </c>
      <c r="J14" s="43">
        <v>2.4466923532815157</v>
      </c>
      <c r="K14" s="43">
        <v>2.6985382100523729</v>
      </c>
    </row>
    <row r="15" spans="1:11" ht="14.5" x14ac:dyDescent="0.35">
      <c r="A15" s="98" t="s">
        <v>335</v>
      </c>
      <c r="B15" s="99"/>
      <c r="C15" s="99"/>
      <c r="D15" s="99"/>
      <c r="E15" s="99"/>
      <c r="F15" s="99"/>
      <c r="G15" s="99"/>
      <c r="H15" s="99"/>
      <c r="I15" s="99"/>
      <c r="J15" s="99"/>
      <c r="K15" s="99"/>
    </row>
    <row r="16" spans="1:11" ht="14.5" x14ac:dyDescent="0.35">
      <c r="A16" s="98" t="s">
        <v>336</v>
      </c>
      <c r="B16" s="99"/>
      <c r="C16" s="99"/>
      <c r="D16" s="99"/>
      <c r="E16" s="99"/>
      <c r="F16" s="99"/>
      <c r="G16" s="99"/>
      <c r="H16" s="99"/>
      <c r="I16" s="99"/>
      <c r="J16" s="99"/>
      <c r="K16" s="99"/>
    </row>
    <row r="17" spans="1:11" ht="14.5" x14ac:dyDescent="0.35">
      <c r="A17" s="53" t="s">
        <v>1321</v>
      </c>
      <c r="B17" s="35"/>
      <c r="C17" s="35"/>
      <c r="D17" s="35"/>
      <c r="E17" s="35"/>
      <c r="F17" s="35"/>
      <c r="G17" s="35"/>
      <c r="H17" s="35"/>
      <c r="I17" s="35"/>
      <c r="J17" s="35"/>
      <c r="K17" s="35"/>
    </row>
    <row r="18" spans="1:11" ht="14.5" x14ac:dyDescent="0.35">
      <c r="A18" s="53"/>
      <c r="B18" s="35"/>
      <c r="C18" s="35"/>
      <c r="D18" s="35"/>
      <c r="E18" s="35"/>
      <c r="F18" s="35"/>
      <c r="G18" s="35"/>
      <c r="H18" s="35"/>
      <c r="I18" s="35"/>
      <c r="J18" s="35"/>
      <c r="K18" s="35"/>
    </row>
    <row r="19" spans="1:11" ht="14.5" x14ac:dyDescent="0.35">
      <c r="A19" s="35" t="s">
        <v>290</v>
      </c>
      <c r="B19" s="35"/>
      <c r="C19" s="35"/>
      <c r="D19" s="35"/>
      <c r="E19" s="35"/>
      <c r="F19" s="35"/>
      <c r="G19" s="35"/>
      <c r="H19" s="35"/>
      <c r="I19" s="35"/>
      <c r="J19" s="35"/>
      <c r="K19" s="35"/>
    </row>
    <row r="20" spans="1:11" ht="14.5" x14ac:dyDescent="0.35">
      <c r="A20" s="45" t="s">
        <v>291</v>
      </c>
      <c r="B20" s="35"/>
      <c r="C20" s="35"/>
      <c r="D20" s="35"/>
      <c r="E20" s="35"/>
      <c r="F20" s="35"/>
      <c r="G20" s="35"/>
      <c r="H20" s="35"/>
      <c r="I20" s="35"/>
      <c r="J20" s="35"/>
      <c r="K20" s="35"/>
    </row>
    <row r="21" spans="1:11" ht="14.5" x14ac:dyDescent="0.35">
      <c r="A21" s="35"/>
      <c r="B21" s="35"/>
      <c r="C21" s="35"/>
      <c r="D21" s="35"/>
      <c r="E21" s="35"/>
      <c r="F21" s="35"/>
      <c r="G21" s="35"/>
      <c r="H21" s="35"/>
      <c r="I21" s="35"/>
      <c r="J21" s="35"/>
      <c r="K21" s="35"/>
    </row>
    <row r="22" spans="1:11" ht="14.5" x14ac:dyDescent="0.35">
      <c r="A22" s="45" t="s">
        <v>3</v>
      </c>
      <c r="B22" s="35"/>
      <c r="C22" s="35"/>
      <c r="D22" s="35"/>
      <c r="E22" s="35"/>
      <c r="F22" s="35"/>
      <c r="G22" s="35"/>
      <c r="H22" s="35"/>
      <c r="I22" s="35"/>
      <c r="J22" s="35"/>
      <c r="K22" s="35"/>
    </row>
    <row r="23" spans="1:11" ht="14.5" x14ac:dyDescent="0.35">
      <c r="A23" s="35"/>
      <c r="B23" s="35"/>
      <c r="C23" s="35"/>
      <c r="D23" s="35"/>
      <c r="E23" s="35"/>
      <c r="F23" s="35"/>
      <c r="G23" s="35"/>
      <c r="H23" s="35"/>
      <c r="I23" s="35"/>
      <c r="J23" s="35"/>
      <c r="K23" s="35"/>
    </row>
    <row r="24" spans="1:11" ht="14.5" x14ac:dyDescent="0.35">
      <c r="A24" s="45" t="s">
        <v>292</v>
      </c>
      <c r="B24" s="35"/>
      <c r="C24" s="35"/>
      <c r="D24" s="35"/>
      <c r="E24" s="35"/>
      <c r="F24" s="35"/>
      <c r="G24" s="35"/>
      <c r="H24" s="35"/>
      <c r="I24" s="35"/>
      <c r="J24" s="35"/>
      <c r="K24" s="35"/>
    </row>
  </sheetData>
  <mergeCells count="3">
    <mergeCell ref="A15:K15"/>
    <mergeCell ref="A16:K16"/>
    <mergeCell ref="A1:K1"/>
  </mergeCells>
  <hyperlinks>
    <hyperlink ref="A20" r:id="rId1" xr:uid="{00000000-0004-0000-0600-000000000000}"/>
    <hyperlink ref="A22" location="'Technical specifications'!A1" display="Technical specifications" xr:uid="{00000000-0004-0000-0600-000001000000}"/>
    <hyperlink ref="A24" location="Contents!A1" display="Back to contents" xr:uid="{00000000-0004-0000-06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26"/>
  <sheetViews>
    <sheetView workbookViewId="0">
      <selection sqref="A1:H1"/>
    </sheetView>
  </sheetViews>
  <sheetFormatPr defaultRowHeight="14.75" customHeight="1" x14ac:dyDescent="0.35"/>
  <cols>
    <col min="1" max="1" width="15" customWidth="1"/>
    <col min="2" max="2" width="42" customWidth="1"/>
    <col min="3" max="8" width="16.54296875" customWidth="1"/>
  </cols>
  <sheetData>
    <row r="1" spans="1:8" ht="33.75" customHeight="1" x14ac:dyDescent="0.35">
      <c r="A1" s="96" t="s">
        <v>11</v>
      </c>
      <c r="B1" s="97"/>
      <c r="C1" s="97"/>
      <c r="D1" s="97"/>
      <c r="E1" s="97"/>
      <c r="F1" s="97"/>
      <c r="G1" s="97"/>
      <c r="H1" s="97"/>
    </row>
    <row r="2" spans="1:8" ht="14.5" x14ac:dyDescent="0.35">
      <c r="A2" s="36" t="s">
        <v>337</v>
      </c>
      <c r="B2" s="36" t="s">
        <v>294</v>
      </c>
      <c r="C2" s="37" t="s">
        <v>338</v>
      </c>
      <c r="D2" s="37" t="s">
        <v>339</v>
      </c>
      <c r="E2" s="37" t="s">
        <v>340</v>
      </c>
      <c r="F2" s="37" t="s">
        <v>341</v>
      </c>
      <c r="G2" s="37" t="s">
        <v>342</v>
      </c>
      <c r="H2" s="57" t="s">
        <v>1285</v>
      </c>
    </row>
    <row r="3" spans="1:8" ht="14.5" x14ac:dyDescent="0.35">
      <c r="A3" s="38" t="s">
        <v>343</v>
      </c>
      <c r="B3" s="38" t="s">
        <v>296</v>
      </c>
      <c r="C3" s="39">
        <v>57873</v>
      </c>
      <c r="D3" s="39">
        <v>14306</v>
      </c>
      <c r="E3" s="39">
        <v>7327</v>
      </c>
      <c r="F3" s="39">
        <v>1392</v>
      </c>
      <c r="G3" s="39">
        <v>1051</v>
      </c>
      <c r="H3" s="39">
        <v>86831</v>
      </c>
    </row>
    <row r="4" spans="1:8" ht="14.5" x14ac:dyDescent="0.35">
      <c r="A4" s="38" t="s">
        <v>344</v>
      </c>
      <c r="B4" s="38" t="s">
        <v>296</v>
      </c>
      <c r="C4" s="39">
        <v>1054243</v>
      </c>
      <c r="D4" s="39">
        <v>327171</v>
      </c>
      <c r="E4" s="39">
        <v>139825</v>
      </c>
      <c r="F4" s="39">
        <v>24689</v>
      </c>
      <c r="G4" s="39">
        <v>17362</v>
      </c>
      <c r="H4" s="39">
        <v>1608414</v>
      </c>
    </row>
    <row r="5" spans="1:8" ht="14.5" x14ac:dyDescent="0.35">
      <c r="A5" s="38" t="s">
        <v>345</v>
      </c>
      <c r="B5" s="38" t="s">
        <v>296</v>
      </c>
      <c r="C5" s="39">
        <v>2421214</v>
      </c>
      <c r="D5" s="39">
        <v>796312</v>
      </c>
      <c r="E5" s="39">
        <v>360268</v>
      </c>
      <c r="F5" s="39">
        <v>61672</v>
      </c>
      <c r="G5" s="39">
        <v>40128</v>
      </c>
      <c r="H5" s="39">
        <v>3789676</v>
      </c>
    </row>
    <row r="6" spans="1:8" ht="14.5" x14ac:dyDescent="0.35">
      <c r="A6" s="38" t="s">
        <v>346</v>
      </c>
      <c r="B6" s="38" t="s">
        <v>296</v>
      </c>
      <c r="C6" s="39">
        <v>1736582</v>
      </c>
      <c r="D6" s="39">
        <v>715175</v>
      </c>
      <c r="E6" s="39">
        <v>360717</v>
      </c>
      <c r="F6" s="39">
        <v>86121</v>
      </c>
      <c r="G6" s="39">
        <v>56257</v>
      </c>
      <c r="H6" s="39">
        <v>3050990</v>
      </c>
    </row>
    <row r="7" spans="1:8" ht="14.5" x14ac:dyDescent="0.35">
      <c r="A7" s="38" t="s">
        <v>347</v>
      </c>
      <c r="B7" s="38" t="s">
        <v>296</v>
      </c>
      <c r="C7" s="39">
        <v>250728</v>
      </c>
      <c r="D7" s="39">
        <v>155322</v>
      </c>
      <c r="E7" s="39">
        <v>86274</v>
      </c>
      <c r="F7" s="39">
        <v>24080</v>
      </c>
      <c r="G7" s="39">
        <v>16923</v>
      </c>
      <c r="H7" s="39">
        <v>555221</v>
      </c>
    </row>
    <row r="8" spans="1:8" ht="14.5" x14ac:dyDescent="0.35">
      <c r="A8" s="46" t="s">
        <v>304</v>
      </c>
      <c r="B8" s="46" t="s">
        <v>296</v>
      </c>
      <c r="C8" s="47">
        <v>5522409</v>
      </c>
      <c r="D8" s="47">
        <v>2008940</v>
      </c>
      <c r="E8" s="47">
        <v>954881</v>
      </c>
      <c r="F8" s="47">
        <v>198002</v>
      </c>
      <c r="G8" s="47">
        <v>131730</v>
      </c>
      <c r="H8" s="47">
        <v>9094312</v>
      </c>
    </row>
    <row r="9" spans="1:8" ht="14.5" x14ac:dyDescent="0.35">
      <c r="A9" s="38" t="s">
        <v>343</v>
      </c>
      <c r="B9" s="58" t="s">
        <v>1286</v>
      </c>
      <c r="C9" s="40">
        <v>2.7776110561</v>
      </c>
      <c r="D9" s="40">
        <v>2.761023765</v>
      </c>
      <c r="E9" s="40">
        <v>3.2357082747999999</v>
      </c>
      <c r="F9" s="40">
        <v>4.5828116772999996</v>
      </c>
      <c r="G9" s="40">
        <v>5.5845165581999998</v>
      </c>
      <c r="H9" s="40">
        <v>2.9987435362000001</v>
      </c>
    </row>
    <row r="10" spans="1:8" ht="14.5" x14ac:dyDescent="0.35">
      <c r="A10" s="38" t="s">
        <v>344</v>
      </c>
      <c r="B10" s="58" t="s">
        <v>1286</v>
      </c>
      <c r="C10" s="40">
        <v>52.411913703000003</v>
      </c>
      <c r="D10" s="40">
        <v>64.769346373000005</v>
      </c>
      <c r="E10" s="40">
        <v>61.975726424000001</v>
      </c>
      <c r="F10" s="40">
        <v>81.060234006000002</v>
      </c>
      <c r="G10" s="40">
        <v>91.246353429999999</v>
      </c>
      <c r="H10" s="40">
        <v>57.304085757000003</v>
      </c>
    </row>
    <row r="11" spans="1:8" ht="14.5" x14ac:dyDescent="0.35">
      <c r="A11" s="38" t="s">
        <v>345</v>
      </c>
      <c r="B11" s="58" t="s">
        <v>1286</v>
      </c>
      <c r="C11" s="40">
        <v>122.01361486</v>
      </c>
      <c r="D11" s="40">
        <v>165.36976397000001</v>
      </c>
      <c r="E11" s="40">
        <v>167.13390136000001</v>
      </c>
      <c r="F11" s="40">
        <v>205.11289735</v>
      </c>
      <c r="G11" s="40">
        <v>209.65035087000001</v>
      </c>
      <c r="H11" s="40">
        <v>137.97853033000001</v>
      </c>
    </row>
    <row r="12" spans="1:8" ht="14.5" x14ac:dyDescent="0.35">
      <c r="A12" s="38" t="s">
        <v>346</v>
      </c>
      <c r="B12" s="58" t="s">
        <v>1286</v>
      </c>
      <c r="C12" s="40">
        <v>90.567477472999997</v>
      </c>
      <c r="D12" s="40">
        <v>156.74978429000001</v>
      </c>
      <c r="E12" s="40">
        <v>174.71122453000001</v>
      </c>
      <c r="F12" s="40">
        <v>291.55234574999997</v>
      </c>
      <c r="G12" s="40">
        <v>290.87842282999998</v>
      </c>
      <c r="H12" s="40">
        <v>115.27735595</v>
      </c>
    </row>
    <row r="13" spans="1:8" ht="14.5" x14ac:dyDescent="0.35">
      <c r="A13" s="38" t="s">
        <v>347</v>
      </c>
      <c r="B13" s="58" t="s">
        <v>1286</v>
      </c>
      <c r="C13" s="40">
        <v>13.082717374</v>
      </c>
      <c r="D13" s="40">
        <v>34.038431557999999</v>
      </c>
      <c r="E13" s="40">
        <v>40.694928259999998</v>
      </c>
      <c r="F13" s="40">
        <v>81.032155935999995</v>
      </c>
      <c r="G13" s="40">
        <v>88.134605653999998</v>
      </c>
      <c r="H13" s="40">
        <v>20.871077786000001</v>
      </c>
    </row>
    <row r="14" spans="1:8" ht="14.5" x14ac:dyDescent="0.35">
      <c r="A14" s="46" t="s">
        <v>304</v>
      </c>
      <c r="B14" s="60" t="s">
        <v>1287</v>
      </c>
      <c r="C14" s="48">
        <v>280.94385435999999</v>
      </c>
      <c r="D14" s="48">
        <v>423.83640985</v>
      </c>
      <c r="E14" s="48">
        <v>447.97576184000002</v>
      </c>
      <c r="F14" s="48">
        <v>663.49997146999999</v>
      </c>
      <c r="G14" s="48">
        <v>685.54185121</v>
      </c>
      <c r="H14" s="48">
        <v>334.54909106999997</v>
      </c>
    </row>
    <row r="15" spans="1:8" ht="15" thickBot="1" x14ac:dyDescent="0.4">
      <c r="A15" s="54" t="s">
        <v>1275</v>
      </c>
      <c r="B15" s="52" t="s">
        <v>1276</v>
      </c>
      <c r="C15" s="55">
        <f>C14/$H$14</f>
        <v>0.83976869720807645</v>
      </c>
      <c r="D15" s="55">
        <f t="shared" ref="D15:H15" si="0">D14/$H$14</f>
        <v>1.266888540914666</v>
      </c>
      <c r="E15" s="55">
        <f t="shared" si="0"/>
        <v>1.3390434282969461</v>
      </c>
      <c r="F15" s="55">
        <f t="shared" si="0"/>
        <v>1.9832664000009834</v>
      </c>
      <c r="G15" s="55">
        <f t="shared" si="0"/>
        <v>2.0491517373949746</v>
      </c>
      <c r="H15" s="55">
        <f t="shared" si="0"/>
        <v>1</v>
      </c>
    </row>
    <row r="16" spans="1:8" ht="14.5" x14ac:dyDescent="0.35">
      <c r="A16" s="100" t="s">
        <v>348</v>
      </c>
      <c r="B16" s="99"/>
      <c r="C16" s="99"/>
      <c r="D16" s="99"/>
      <c r="E16" s="99"/>
      <c r="F16" s="99"/>
      <c r="G16" s="99"/>
      <c r="H16" s="99"/>
    </row>
    <row r="17" spans="1:8" ht="14.5" x14ac:dyDescent="0.35">
      <c r="A17" s="100" t="s">
        <v>349</v>
      </c>
      <c r="B17" s="99"/>
      <c r="C17" s="99"/>
      <c r="D17" s="99"/>
      <c r="E17" s="99"/>
      <c r="F17" s="99"/>
      <c r="G17" s="99"/>
      <c r="H17" s="99"/>
    </row>
    <row r="18" spans="1:8" ht="21" customHeight="1" x14ac:dyDescent="0.35">
      <c r="A18" s="100" t="s">
        <v>350</v>
      </c>
      <c r="B18" s="99"/>
      <c r="C18" s="99"/>
      <c r="D18" s="99"/>
      <c r="E18" s="99"/>
      <c r="F18" s="99"/>
      <c r="G18" s="99"/>
      <c r="H18" s="99"/>
    </row>
    <row r="19" spans="1:8" ht="14.5" x14ac:dyDescent="0.35">
      <c r="A19" s="56" t="s">
        <v>1277</v>
      </c>
      <c r="B19" s="35"/>
      <c r="C19" s="35"/>
      <c r="D19" s="35"/>
      <c r="E19" s="35"/>
      <c r="F19" s="35"/>
      <c r="G19" s="35"/>
      <c r="H19" s="35"/>
    </row>
    <row r="20" spans="1:8" ht="14.5" x14ac:dyDescent="0.35">
      <c r="A20" s="56"/>
      <c r="B20" s="35"/>
      <c r="C20" s="35"/>
      <c r="D20" s="35"/>
      <c r="E20" s="35"/>
      <c r="F20" s="35"/>
      <c r="G20" s="35"/>
      <c r="H20" s="35"/>
    </row>
    <row r="21" spans="1:8" ht="14.5" x14ac:dyDescent="0.35">
      <c r="A21" s="35" t="s">
        <v>290</v>
      </c>
      <c r="B21" s="35"/>
      <c r="C21" s="35"/>
      <c r="D21" s="35"/>
      <c r="E21" s="35"/>
      <c r="F21" s="35"/>
      <c r="G21" s="35"/>
      <c r="H21" s="35"/>
    </row>
    <row r="22" spans="1:8" ht="14.5" x14ac:dyDescent="0.35">
      <c r="A22" s="45" t="s">
        <v>291</v>
      </c>
      <c r="B22" s="35"/>
      <c r="C22" s="35"/>
      <c r="D22" s="35"/>
      <c r="E22" s="35"/>
      <c r="F22" s="35"/>
      <c r="G22" s="35"/>
      <c r="H22" s="35"/>
    </row>
    <row r="23" spans="1:8" ht="14.5" x14ac:dyDescent="0.35">
      <c r="A23" s="35"/>
      <c r="B23" s="35"/>
      <c r="C23" s="35"/>
      <c r="D23" s="35"/>
      <c r="E23" s="35"/>
      <c r="F23" s="35"/>
      <c r="G23" s="35"/>
      <c r="H23" s="35"/>
    </row>
    <row r="24" spans="1:8" ht="14.5" x14ac:dyDescent="0.35">
      <c r="A24" s="45" t="s">
        <v>3</v>
      </c>
      <c r="B24" s="35"/>
      <c r="C24" s="35"/>
      <c r="D24" s="35"/>
      <c r="E24" s="35"/>
      <c r="F24" s="35"/>
      <c r="G24" s="35"/>
      <c r="H24" s="35"/>
    </row>
    <row r="25" spans="1:8" ht="14.5" x14ac:dyDescent="0.35">
      <c r="A25" s="35"/>
      <c r="B25" s="35"/>
      <c r="C25" s="35"/>
      <c r="D25" s="35"/>
      <c r="E25" s="35"/>
      <c r="F25" s="35"/>
      <c r="G25" s="35"/>
      <c r="H25" s="35"/>
    </row>
    <row r="26" spans="1:8" ht="14.5" x14ac:dyDescent="0.35">
      <c r="A26" s="45" t="s">
        <v>292</v>
      </c>
      <c r="B26" s="35"/>
      <c r="C26" s="35"/>
      <c r="D26" s="35"/>
      <c r="E26" s="35"/>
      <c r="F26" s="35"/>
      <c r="G26" s="35"/>
      <c r="H26" s="35"/>
    </row>
  </sheetData>
  <mergeCells count="4">
    <mergeCell ref="A16:H16"/>
    <mergeCell ref="A17:H17"/>
    <mergeCell ref="A18:H18"/>
    <mergeCell ref="A1:H1"/>
  </mergeCells>
  <hyperlinks>
    <hyperlink ref="A22" r:id="rId1" xr:uid="{00000000-0004-0000-0700-000000000000}"/>
    <hyperlink ref="A24" location="'Technical specifications'!A1" display="Technical specifications" xr:uid="{00000000-0004-0000-0700-000001000000}"/>
    <hyperlink ref="A26" location="Contents!A1" display="Back to contents" xr:uid="{00000000-0004-0000-07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26"/>
  <sheetViews>
    <sheetView workbookViewId="0">
      <selection sqref="A1:H1"/>
    </sheetView>
  </sheetViews>
  <sheetFormatPr defaultRowHeight="14.75" customHeight="1" x14ac:dyDescent="0.35"/>
  <cols>
    <col min="1" max="1" width="15" customWidth="1"/>
    <col min="2" max="2" width="42" customWidth="1"/>
    <col min="3" max="8" width="15.453125" customWidth="1"/>
  </cols>
  <sheetData>
    <row r="1" spans="1:8" ht="33.75" customHeight="1" x14ac:dyDescent="0.35">
      <c r="A1" s="96" t="s">
        <v>12</v>
      </c>
      <c r="B1" s="97"/>
      <c r="C1" s="97"/>
      <c r="D1" s="97"/>
      <c r="E1" s="97"/>
      <c r="F1" s="97"/>
      <c r="G1" s="97"/>
      <c r="H1" s="97"/>
    </row>
    <row r="2" spans="1:8" ht="14.5" x14ac:dyDescent="0.35">
      <c r="A2" s="36" t="s">
        <v>337</v>
      </c>
      <c r="B2" s="36" t="s">
        <v>294</v>
      </c>
      <c r="C2" s="37" t="s">
        <v>351</v>
      </c>
      <c r="D2" s="37" t="s">
        <v>352</v>
      </c>
      <c r="E2" s="37" t="s">
        <v>353</v>
      </c>
      <c r="F2" s="37" t="s">
        <v>354</v>
      </c>
      <c r="G2" s="37" t="s">
        <v>355</v>
      </c>
      <c r="H2" s="57" t="s">
        <v>1285</v>
      </c>
    </row>
    <row r="3" spans="1:8" ht="14.5" x14ac:dyDescent="0.35">
      <c r="A3" s="38" t="s">
        <v>343</v>
      </c>
      <c r="B3" s="38" t="s">
        <v>296</v>
      </c>
      <c r="C3" s="39">
        <v>21198</v>
      </c>
      <c r="D3" s="39">
        <v>18295</v>
      </c>
      <c r="E3" s="39">
        <v>16767</v>
      </c>
      <c r="F3" s="39">
        <v>14510</v>
      </c>
      <c r="G3" s="39">
        <v>11163</v>
      </c>
      <c r="H3" s="39">
        <v>86831</v>
      </c>
    </row>
    <row r="4" spans="1:8" ht="14.5" x14ac:dyDescent="0.35">
      <c r="A4" s="38" t="s">
        <v>344</v>
      </c>
      <c r="B4" s="38" t="s">
        <v>296</v>
      </c>
      <c r="C4" s="39">
        <v>385685</v>
      </c>
      <c r="D4" s="39">
        <v>350659</v>
      </c>
      <c r="E4" s="39">
        <v>338554</v>
      </c>
      <c r="F4" s="39">
        <v>280609</v>
      </c>
      <c r="G4" s="39">
        <v>207549</v>
      </c>
      <c r="H4" s="39">
        <v>1608414</v>
      </c>
    </row>
    <row r="5" spans="1:8" ht="14.5" x14ac:dyDescent="0.35">
      <c r="A5" s="38" t="s">
        <v>345</v>
      </c>
      <c r="B5" s="38" t="s">
        <v>296</v>
      </c>
      <c r="C5" s="39">
        <v>913258</v>
      </c>
      <c r="D5" s="39">
        <v>834538</v>
      </c>
      <c r="E5" s="39">
        <v>786915</v>
      </c>
      <c r="F5" s="39">
        <v>662217</v>
      </c>
      <c r="G5" s="39">
        <v>482062</v>
      </c>
      <c r="H5" s="39">
        <v>3789676</v>
      </c>
    </row>
    <row r="6" spans="1:8" ht="14.5" x14ac:dyDescent="0.35">
      <c r="A6" s="38" t="s">
        <v>346</v>
      </c>
      <c r="B6" s="38" t="s">
        <v>296</v>
      </c>
      <c r="C6" s="39">
        <v>728898</v>
      </c>
      <c r="D6" s="39">
        <v>721824</v>
      </c>
      <c r="E6" s="39">
        <v>614847</v>
      </c>
      <c r="F6" s="39">
        <v>480354</v>
      </c>
      <c r="G6" s="39">
        <v>408474</v>
      </c>
      <c r="H6" s="39">
        <v>3050990</v>
      </c>
    </row>
    <row r="7" spans="1:8" ht="14.5" x14ac:dyDescent="0.35">
      <c r="A7" s="38" t="s">
        <v>347</v>
      </c>
      <c r="B7" s="38" t="s">
        <v>296</v>
      </c>
      <c r="C7" s="39">
        <v>142574</v>
      </c>
      <c r="D7" s="39">
        <v>150556</v>
      </c>
      <c r="E7" s="39">
        <v>103477</v>
      </c>
      <c r="F7" s="39">
        <v>68965</v>
      </c>
      <c r="G7" s="39">
        <v>67654</v>
      </c>
      <c r="H7" s="39">
        <v>555221</v>
      </c>
    </row>
    <row r="8" spans="1:8" ht="14.5" x14ac:dyDescent="0.35">
      <c r="A8" s="46" t="s">
        <v>304</v>
      </c>
      <c r="B8" s="46" t="s">
        <v>296</v>
      </c>
      <c r="C8" s="47">
        <v>2192551</v>
      </c>
      <c r="D8" s="47">
        <v>2076655</v>
      </c>
      <c r="E8" s="47">
        <v>1861130</v>
      </c>
      <c r="F8" s="47">
        <v>1506980</v>
      </c>
      <c r="G8" s="47">
        <v>1177235</v>
      </c>
      <c r="H8" s="47">
        <v>9094312</v>
      </c>
    </row>
    <row r="9" spans="1:8" ht="14.5" x14ac:dyDescent="0.35">
      <c r="A9" s="38" t="s">
        <v>343</v>
      </c>
      <c r="B9" s="58" t="s">
        <v>1286</v>
      </c>
      <c r="C9" s="40">
        <v>3.9286111874</v>
      </c>
      <c r="D9" s="40">
        <v>3.2704559429</v>
      </c>
      <c r="E9" s="40">
        <v>2.7104884868000001</v>
      </c>
      <c r="F9" s="40">
        <v>2.4359077772000002</v>
      </c>
      <c r="G9" s="40">
        <v>1.9147613831000001</v>
      </c>
      <c r="H9" s="40">
        <v>2.9986952278999999</v>
      </c>
    </row>
    <row r="10" spans="1:8" ht="14.5" x14ac:dyDescent="0.35">
      <c r="A10" s="38" t="s">
        <v>344</v>
      </c>
      <c r="B10" s="58" t="s">
        <v>1286</v>
      </c>
      <c r="C10" s="40">
        <v>73.005475829000005</v>
      </c>
      <c r="D10" s="40">
        <v>64.575467959999997</v>
      </c>
      <c r="E10" s="40">
        <v>56.569525761000001</v>
      </c>
      <c r="F10" s="40">
        <v>48.632030749000002</v>
      </c>
      <c r="G10" s="40">
        <v>37.557620640000003</v>
      </c>
      <c r="H10" s="40">
        <v>57.303187700999999</v>
      </c>
    </row>
    <row r="11" spans="1:8" ht="14.5" x14ac:dyDescent="0.35">
      <c r="A11" s="38" t="s">
        <v>345</v>
      </c>
      <c r="B11" s="58" t="s">
        <v>1286</v>
      </c>
      <c r="C11" s="40">
        <v>176.29818836999999</v>
      </c>
      <c r="D11" s="40">
        <v>157.72140171999999</v>
      </c>
      <c r="E11" s="40">
        <v>134.57469570000001</v>
      </c>
      <c r="F11" s="40">
        <v>116.43841931999999</v>
      </c>
      <c r="G11" s="40">
        <v>89.325161360999999</v>
      </c>
      <c r="H11" s="40">
        <v>137.97962656000001</v>
      </c>
    </row>
    <row r="12" spans="1:8" ht="14.5" x14ac:dyDescent="0.35">
      <c r="A12" s="38" t="s">
        <v>346</v>
      </c>
      <c r="B12" s="58" t="s">
        <v>1286</v>
      </c>
      <c r="C12" s="40">
        <v>146.03404656000001</v>
      </c>
      <c r="D12" s="40">
        <v>142.82941129</v>
      </c>
      <c r="E12" s="40">
        <v>109.18733482</v>
      </c>
      <c r="F12" s="40">
        <v>86.912082839000007</v>
      </c>
      <c r="G12" s="40">
        <v>79.131161411999997</v>
      </c>
      <c r="H12" s="40">
        <v>115.28079284</v>
      </c>
    </row>
    <row r="13" spans="1:8" ht="14.5" x14ac:dyDescent="0.35">
      <c r="A13" s="38" t="s">
        <v>347</v>
      </c>
      <c r="B13" s="58" t="s">
        <v>1286</v>
      </c>
      <c r="C13" s="40">
        <v>28.509399736999999</v>
      </c>
      <c r="D13" s="40">
        <v>29.613048556999999</v>
      </c>
      <c r="E13" s="40">
        <v>18.314016383999999</v>
      </c>
      <c r="F13" s="40">
        <v>12.4514347</v>
      </c>
      <c r="G13" s="40">
        <v>12.994844592</v>
      </c>
      <c r="H13" s="40">
        <v>20.871963866000002</v>
      </c>
    </row>
    <row r="14" spans="1:8" ht="14.5" x14ac:dyDescent="0.35">
      <c r="A14" s="60" t="s">
        <v>1275</v>
      </c>
      <c r="B14" s="60" t="s">
        <v>1287</v>
      </c>
      <c r="C14" s="48">
        <v>427.96350274999998</v>
      </c>
      <c r="D14" s="48">
        <v>398.16475445999998</v>
      </c>
      <c r="E14" s="48">
        <v>321.45525585000001</v>
      </c>
      <c r="F14" s="48">
        <v>266.92789450999999</v>
      </c>
      <c r="G14" s="48">
        <v>220.98831845999999</v>
      </c>
      <c r="H14" s="48">
        <v>334.55356984999997</v>
      </c>
    </row>
    <row r="15" spans="1:8" ht="15" thickBot="1" x14ac:dyDescent="0.4">
      <c r="A15" s="54" t="s">
        <v>1275</v>
      </c>
      <c r="B15" s="52" t="s">
        <v>1276</v>
      </c>
      <c r="C15" s="43">
        <f>C14/$H$14</f>
        <v>1.2792077004046951</v>
      </c>
      <c r="D15" s="43">
        <f t="shared" ref="D15:H15" si="0">D14/$H$14</f>
        <v>1.1901375156107903</v>
      </c>
      <c r="E15" s="43">
        <f t="shared" si="0"/>
        <v>0.96084838070664524</v>
      </c>
      <c r="F15" s="43">
        <f t="shared" si="0"/>
        <v>0.79786293904943073</v>
      </c>
      <c r="G15" s="43">
        <f t="shared" si="0"/>
        <v>0.66054688508952997</v>
      </c>
      <c r="H15" s="43">
        <f t="shared" si="0"/>
        <v>1</v>
      </c>
    </row>
    <row r="16" spans="1:8" ht="14.5" x14ac:dyDescent="0.35">
      <c r="A16" s="98" t="s">
        <v>356</v>
      </c>
      <c r="B16" s="99"/>
      <c r="C16" s="99"/>
      <c r="D16" s="99"/>
      <c r="E16" s="99"/>
      <c r="F16" s="99"/>
      <c r="G16" s="99"/>
      <c r="H16" s="99"/>
    </row>
    <row r="17" spans="1:8" ht="14.5" x14ac:dyDescent="0.35">
      <c r="A17" s="98" t="s">
        <v>357</v>
      </c>
      <c r="B17" s="99"/>
      <c r="C17" s="99"/>
      <c r="D17" s="99"/>
      <c r="E17" s="99"/>
      <c r="F17" s="99"/>
      <c r="G17" s="99"/>
      <c r="H17" s="99"/>
    </row>
    <row r="18" spans="1:8" ht="20.5" customHeight="1" x14ac:dyDescent="0.35">
      <c r="A18" s="98" t="s">
        <v>358</v>
      </c>
      <c r="B18" s="99"/>
      <c r="C18" s="99"/>
      <c r="D18" s="99"/>
      <c r="E18" s="99"/>
      <c r="F18" s="99"/>
      <c r="G18" s="99"/>
      <c r="H18" s="99"/>
    </row>
    <row r="19" spans="1:8" ht="14.5" x14ac:dyDescent="0.35">
      <c r="A19" s="56" t="s">
        <v>1319</v>
      </c>
      <c r="B19" s="35"/>
      <c r="C19" s="35"/>
      <c r="D19" s="35"/>
      <c r="E19" s="35"/>
      <c r="F19" s="35"/>
      <c r="G19" s="35"/>
      <c r="H19" s="35"/>
    </row>
    <row r="20" spans="1:8" ht="14.5" x14ac:dyDescent="0.35">
      <c r="A20" s="56"/>
      <c r="B20" s="35"/>
      <c r="C20" s="35"/>
      <c r="D20" s="35"/>
      <c r="E20" s="35"/>
      <c r="F20" s="35"/>
      <c r="G20" s="35"/>
      <c r="H20" s="35"/>
    </row>
    <row r="21" spans="1:8" ht="14.5" x14ac:dyDescent="0.35">
      <c r="A21" s="35" t="s">
        <v>290</v>
      </c>
      <c r="B21" s="35"/>
      <c r="C21" s="35"/>
      <c r="D21" s="35"/>
      <c r="E21" s="35"/>
      <c r="F21" s="35"/>
      <c r="G21" s="35"/>
      <c r="H21" s="35"/>
    </row>
    <row r="22" spans="1:8" ht="14.5" x14ac:dyDescent="0.35">
      <c r="A22" s="45" t="s">
        <v>291</v>
      </c>
      <c r="B22" s="35"/>
      <c r="C22" s="35"/>
      <c r="D22" s="35"/>
      <c r="E22" s="35"/>
      <c r="F22" s="35"/>
      <c r="G22" s="35"/>
      <c r="H22" s="35"/>
    </row>
    <row r="23" spans="1:8" ht="14.5" x14ac:dyDescent="0.35">
      <c r="A23" s="35"/>
      <c r="B23" s="35"/>
      <c r="C23" s="35"/>
      <c r="D23" s="35"/>
      <c r="E23" s="35"/>
      <c r="F23" s="35"/>
      <c r="G23" s="35"/>
      <c r="H23" s="35"/>
    </row>
    <row r="24" spans="1:8" ht="14.5" x14ac:dyDescent="0.35">
      <c r="A24" s="45" t="s">
        <v>3</v>
      </c>
      <c r="B24" s="35"/>
      <c r="C24" s="35"/>
      <c r="D24" s="35"/>
      <c r="E24" s="35"/>
      <c r="F24" s="35"/>
      <c r="G24" s="35"/>
      <c r="H24" s="35"/>
    </row>
    <row r="25" spans="1:8" ht="14.5" x14ac:dyDescent="0.35">
      <c r="A25" s="35"/>
      <c r="B25" s="35"/>
      <c r="C25" s="35"/>
      <c r="D25" s="35"/>
      <c r="E25" s="35"/>
      <c r="F25" s="35"/>
      <c r="G25" s="35"/>
      <c r="H25" s="35"/>
    </row>
    <row r="26" spans="1:8" ht="14.5" x14ac:dyDescent="0.35">
      <c r="A26" s="45" t="s">
        <v>292</v>
      </c>
      <c r="B26" s="35"/>
      <c r="C26" s="35"/>
      <c r="D26" s="35"/>
      <c r="E26" s="35"/>
      <c r="F26" s="35"/>
      <c r="G26" s="35"/>
      <c r="H26" s="35"/>
    </row>
  </sheetData>
  <mergeCells count="4">
    <mergeCell ref="A16:H16"/>
    <mergeCell ref="A17:H17"/>
    <mergeCell ref="A18:H18"/>
    <mergeCell ref="A1:H1"/>
  </mergeCells>
  <hyperlinks>
    <hyperlink ref="A22" r:id="rId1" xr:uid="{00000000-0004-0000-0800-000000000000}"/>
    <hyperlink ref="A24" location="'Technical specifications'!A1" display="Technical specifications" xr:uid="{00000000-0004-0000-0800-000001000000}"/>
    <hyperlink ref="A26" location="Contents!A1" display="Back to contents" xr:uid="{00000000-0004-0000-08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23"/>
  <sheetViews>
    <sheetView workbookViewId="0">
      <selection sqref="A1:K1"/>
    </sheetView>
  </sheetViews>
  <sheetFormatPr defaultRowHeight="14.75" customHeight="1" x14ac:dyDescent="0.35"/>
  <cols>
    <col min="1" max="1" width="22" customWidth="1"/>
    <col min="2" max="2" width="23" customWidth="1"/>
    <col min="3" max="11" width="8.453125" customWidth="1"/>
  </cols>
  <sheetData>
    <row r="1" spans="1:11" ht="33.75" customHeight="1" x14ac:dyDescent="0.35">
      <c r="A1" s="96" t="s">
        <v>14</v>
      </c>
      <c r="B1" s="97"/>
      <c r="C1" s="97"/>
      <c r="D1" s="97"/>
      <c r="E1" s="97"/>
      <c r="F1" s="97"/>
      <c r="G1" s="97"/>
      <c r="H1" s="97"/>
      <c r="I1" s="97"/>
      <c r="J1" s="97"/>
      <c r="K1" s="97"/>
    </row>
    <row r="2" spans="1:11" ht="14.5" x14ac:dyDescent="0.35">
      <c r="A2" s="36" t="s">
        <v>359</v>
      </c>
      <c r="B2" s="36" t="s">
        <v>294</v>
      </c>
      <c r="C2" s="37" t="s">
        <v>295</v>
      </c>
      <c r="D2" s="37" t="s">
        <v>297</v>
      </c>
      <c r="E2" s="37" t="s">
        <v>298</v>
      </c>
      <c r="F2" s="57" t="s">
        <v>1288</v>
      </c>
      <c r="G2" s="57" t="s">
        <v>1289</v>
      </c>
      <c r="H2" s="37" t="s">
        <v>301</v>
      </c>
      <c r="I2" s="37" t="s">
        <v>302</v>
      </c>
      <c r="J2" s="37" t="s">
        <v>303</v>
      </c>
      <c r="K2" s="37" t="s">
        <v>304</v>
      </c>
    </row>
    <row r="3" spans="1:11" ht="14.5" x14ac:dyDescent="0.35">
      <c r="A3" s="38" t="s">
        <v>360</v>
      </c>
      <c r="B3" s="38" t="s">
        <v>296</v>
      </c>
      <c r="C3" s="39">
        <v>3104438</v>
      </c>
      <c r="D3" s="39">
        <v>1971765</v>
      </c>
      <c r="E3" s="39">
        <v>1753502</v>
      </c>
      <c r="F3" s="39">
        <v>1014749</v>
      </c>
      <c r="G3" s="39">
        <v>618082</v>
      </c>
      <c r="H3" s="39">
        <v>181806</v>
      </c>
      <c r="I3" s="39">
        <v>166373</v>
      </c>
      <c r="J3" s="39">
        <v>186476</v>
      </c>
      <c r="K3" s="39">
        <v>8997191</v>
      </c>
    </row>
    <row r="4" spans="1:11" ht="14.5" x14ac:dyDescent="0.35">
      <c r="A4" s="38" t="s">
        <v>361</v>
      </c>
      <c r="B4" s="38" t="s">
        <v>296</v>
      </c>
      <c r="C4" s="39">
        <v>44855</v>
      </c>
      <c r="D4" s="39">
        <v>6079</v>
      </c>
      <c r="E4" s="39">
        <v>6023</v>
      </c>
      <c r="F4" s="39">
        <v>12105</v>
      </c>
      <c r="G4" s="39">
        <v>3171</v>
      </c>
      <c r="H4" s="39">
        <v>1118</v>
      </c>
      <c r="I4" s="39">
        <v>860</v>
      </c>
      <c r="J4" s="39">
        <v>1450</v>
      </c>
      <c r="K4" s="39">
        <v>75661</v>
      </c>
    </row>
    <row r="5" spans="1:11" ht="14.5" x14ac:dyDescent="0.35">
      <c r="A5" s="38" t="s">
        <v>362</v>
      </c>
      <c r="B5" s="38" t="s">
        <v>296</v>
      </c>
      <c r="C5" s="39">
        <v>9727</v>
      </c>
      <c r="D5" s="39">
        <v>364</v>
      </c>
      <c r="E5" s="39">
        <v>7314</v>
      </c>
      <c r="F5" s="39">
        <v>161</v>
      </c>
      <c r="G5" s="39">
        <v>800</v>
      </c>
      <c r="H5" s="39">
        <v>0</v>
      </c>
      <c r="I5" s="39">
        <v>252</v>
      </c>
      <c r="J5" s="39">
        <v>180</v>
      </c>
      <c r="K5" s="39">
        <v>18798</v>
      </c>
    </row>
    <row r="6" spans="1:11" ht="14.5" x14ac:dyDescent="0.35">
      <c r="A6" s="38" t="s">
        <v>363</v>
      </c>
      <c r="B6" s="38" t="s">
        <v>296</v>
      </c>
      <c r="C6" s="39">
        <v>1371</v>
      </c>
      <c r="D6" s="39">
        <v>59</v>
      </c>
      <c r="E6" s="39">
        <v>0</v>
      </c>
      <c r="F6" s="39">
        <v>0</v>
      </c>
      <c r="G6" s="39">
        <v>1</v>
      </c>
      <c r="H6" s="39">
        <v>4</v>
      </c>
      <c r="I6" s="39">
        <v>0</v>
      </c>
      <c r="J6" s="39">
        <v>11</v>
      </c>
      <c r="K6" s="39">
        <v>1446</v>
      </c>
    </row>
    <row r="7" spans="1:11" ht="14.5" x14ac:dyDescent="0.35">
      <c r="A7" s="38" t="s">
        <v>332</v>
      </c>
      <c r="B7" s="38" t="s">
        <v>296</v>
      </c>
      <c r="C7" s="39">
        <v>82</v>
      </c>
      <c r="D7" s="39">
        <v>0</v>
      </c>
      <c r="E7" s="39">
        <v>0</v>
      </c>
      <c r="F7" s="39">
        <v>2</v>
      </c>
      <c r="G7" s="39">
        <v>822</v>
      </c>
      <c r="H7" s="39">
        <v>192</v>
      </c>
      <c r="I7" s="39">
        <v>118</v>
      </c>
      <c r="J7" s="39">
        <v>0</v>
      </c>
      <c r="K7" s="39">
        <v>1216</v>
      </c>
    </row>
    <row r="8" spans="1:11" ht="14.5" x14ac:dyDescent="0.35">
      <c r="A8" s="46" t="s">
        <v>304</v>
      </c>
      <c r="B8" s="46" t="s">
        <v>296</v>
      </c>
      <c r="C8" s="47">
        <v>3160473</v>
      </c>
      <c r="D8" s="47">
        <v>1978267</v>
      </c>
      <c r="E8" s="47">
        <v>1766839</v>
      </c>
      <c r="F8" s="47">
        <v>1027017</v>
      </c>
      <c r="G8" s="47">
        <v>622876</v>
      </c>
      <c r="H8" s="47">
        <v>183120</v>
      </c>
      <c r="I8" s="47">
        <v>167603</v>
      </c>
      <c r="J8" s="47">
        <v>188117</v>
      </c>
      <c r="K8" s="47">
        <v>9094312</v>
      </c>
    </row>
    <row r="9" spans="1:11" ht="14.5" x14ac:dyDescent="0.35">
      <c r="A9" s="38" t="s">
        <v>360</v>
      </c>
      <c r="B9" s="38" t="s">
        <v>306</v>
      </c>
      <c r="C9" s="40">
        <v>98.227000000000004</v>
      </c>
      <c r="D9" s="40">
        <v>99.671300000000002</v>
      </c>
      <c r="E9" s="40">
        <v>99.245099999999994</v>
      </c>
      <c r="F9" s="40">
        <v>98.805499999999995</v>
      </c>
      <c r="G9" s="40">
        <v>99.2303</v>
      </c>
      <c r="H9" s="40">
        <v>99.282399999999996</v>
      </c>
      <c r="I9" s="40">
        <v>99.266099999999994</v>
      </c>
      <c r="J9" s="40">
        <v>99.127700000000004</v>
      </c>
      <c r="K9" s="40">
        <v>98.932100000000005</v>
      </c>
    </row>
    <row r="10" spans="1:11" ht="14.5" x14ac:dyDescent="0.35">
      <c r="A10" s="38" t="s">
        <v>361</v>
      </c>
      <c r="B10" s="38" t="s">
        <v>306</v>
      </c>
      <c r="C10" s="40">
        <v>1.4192</v>
      </c>
      <c r="D10" s="40">
        <v>0.30730000000000002</v>
      </c>
      <c r="E10" s="40">
        <v>0.34089999999999998</v>
      </c>
      <c r="F10" s="40">
        <v>1.1787000000000001</v>
      </c>
      <c r="G10" s="40">
        <v>0.5091</v>
      </c>
      <c r="H10" s="40">
        <v>0.61050000000000004</v>
      </c>
      <c r="I10" s="40">
        <v>0.5131</v>
      </c>
      <c r="J10" s="40">
        <v>0.77080000000000004</v>
      </c>
      <c r="K10" s="40">
        <v>0.83199999999999996</v>
      </c>
    </row>
    <row r="11" spans="1:11" ht="14.5" x14ac:dyDescent="0.35">
      <c r="A11" s="38" t="s">
        <v>362</v>
      </c>
      <c r="B11" s="38" t="s">
        <v>306</v>
      </c>
      <c r="C11" s="40">
        <v>0.30780000000000002</v>
      </c>
      <c r="D11" s="40">
        <v>1.84E-2</v>
      </c>
      <c r="E11" s="40">
        <v>0.41399999999999998</v>
      </c>
      <c r="F11" s="40">
        <v>1.5699999999999999E-2</v>
      </c>
      <c r="G11" s="40">
        <v>0.12839999999999999</v>
      </c>
      <c r="H11" s="40">
        <v>0</v>
      </c>
      <c r="I11" s="40">
        <v>0.15040000000000001</v>
      </c>
      <c r="J11" s="40">
        <v>9.5699999999999993E-2</v>
      </c>
      <c r="K11" s="40">
        <v>0.20669999999999999</v>
      </c>
    </row>
    <row r="12" spans="1:11" ht="14.5" x14ac:dyDescent="0.35">
      <c r="A12" s="38" t="s">
        <v>363</v>
      </c>
      <c r="B12" s="38" t="s">
        <v>306</v>
      </c>
      <c r="C12" s="40">
        <v>4.3400000000000001E-2</v>
      </c>
      <c r="D12" s="40">
        <v>3.0000000000000001E-3</v>
      </c>
      <c r="E12" s="40">
        <v>0</v>
      </c>
      <c r="F12" s="40">
        <v>0</v>
      </c>
      <c r="G12" s="40">
        <v>2.0000000000000001E-4</v>
      </c>
      <c r="H12" s="40">
        <v>2.2000000000000001E-3</v>
      </c>
      <c r="I12" s="40">
        <v>0</v>
      </c>
      <c r="J12" s="40">
        <v>5.7999999999999996E-3</v>
      </c>
      <c r="K12" s="40">
        <v>1.5900000000000001E-2</v>
      </c>
    </row>
    <row r="13" spans="1:11" ht="14.5" x14ac:dyDescent="0.35">
      <c r="A13" s="38" t="s">
        <v>332</v>
      </c>
      <c r="B13" s="38" t="s">
        <v>306</v>
      </c>
      <c r="C13" s="40">
        <v>2.5999999999999999E-3</v>
      </c>
      <c r="D13" s="40">
        <v>0</v>
      </c>
      <c r="E13" s="40">
        <v>0</v>
      </c>
      <c r="F13" s="40">
        <v>2.0000000000000001E-4</v>
      </c>
      <c r="G13" s="40">
        <v>0.13200000000000001</v>
      </c>
      <c r="H13" s="40">
        <v>0.1048</v>
      </c>
      <c r="I13" s="40">
        <v>7.0400000000000004E-2</v>
      </c>
      <c r="J13" s="40">
        <v>0</v>
      </c>
      <c r="K13" s="40">
        <v>1.34E-2</v>
      </c>
    </row>
    <row r="14" spans="1:11" ht="14.5" x14ac:dyDescent="0.35">
      <c r="A14" s="41" t="s">
        <v>304</v>
      </c>
      <c r="B14" s="41" t="s">
        <v>306</v>
      </c>
      <c r="C14" s="43">
        <v>100</v>
      </c>
      <c r="D14" s="43">
        <v>100</v>
      </c>
      <c r="E14" s="43">
        <v>100</v>
      </c>
      <c r="F14" s="43">
        <v>100</v>
      </c>
      <c r="G14" s="43">
        <v>100</v>
      </c>
      <c r="H14" s="43">
        <v>100</v>
      </c>
      <c r="I14" s="43">
        <v>100</v>
      </c>
      <c r="J14" s="43">
        <v>100</v>
      </c>
      <c r="K14" s="43">
        <v>100</v>
      </c>
    </row>
    <row r="15" spans="1:11" ht="21.5" customHeight="1" x14ac:dyDescent="0.35">
      <c r="A15" s="100" t="s">
        <v>364</v>
      </c>
      <c r="B15" s="99"/>
      <c r="C15" s="99"/>
      <c r="D15" s="99"/>
      <c r="E15" s="99"/>
      <c r="F15" s="99"/>
      <c r="G15" s="99"/>
      <c r="H15" s="99"/>
      <c r="I15" s="99"/>
      <c r="J15" s="99"/>
      <c r="K15" s="99"/>
    </row>
    <row r="16" spans="1:11" ht="14.5" x14ac:dyDescent="0.35">
      <c r="A16" s="100" t="s">
        <v>365</v>
      </c>
      <c r="B16" s="99"/>
      <c r="C16" s="99"/>
      <c r="D16" s="99"/>
      <c r="E16" s="99"/>
      <c r="F16" s="99"/>
      <c r="G16" s="99"/>
      <c r="H16" s="99"/>
      <c r="I16" s="99"/>
      <c r="J16" s="99"/>
      <c r="K16" s="99"/>
    </row>
    <row r="17" spans="1:11" ht="14.5" x14ac:dyDescent="0.35">
      <c r="A17" s="44"/>
      <c r="B17" s="35"/>
      <c r="C17" s="35"/>
      <c r="D17" s="35"/>
      <c r="E17" s="35"/>
      <c r="F17" s="35"/>
      <c r="G17" s="35"/>
      <c r="H17" s="35"/>
      <c r="I17" s="35"/>
      <c r="J17" s="35"/>
      <c r="K17" s="35"/>
    </row>
    <row r="18" spans="1:11" ht="14.5" x14ac:dyDescent="0.35">
      <c r="A18" s="35" t="s">
        <v>290</v>
      </c>
      <c r="B18" s="35"/>
      <c r="C18" s="35"/>
      <c r="D18" s="35"/>
      <c r="E18" s="35"/>
      <c r="F18" s="35"/>
      <c r="G18" s="35"/>
      <c r="H18" s="35"/>
      <c r="I18" s="35"/>
      <c r="J18" s="35"/>
      <c r="K18" s="35"/>
    </row>
    <row r="19" spans="1:11" ht="14.5" x14ac:dyDescent="0.35">
      <c r="A19" s="45" t="s">
        <v>291</v>
      </c>
      <c r="B19" s="35"/>
      <c r="C19" s="35"/>
      <c r="D19" s="35"/>
      <c r="E19" s="35"/>
      <c r="F19" s="35"/>
      <c r="G19" s="35"/>
      <c r="H19" s="35"/>
      <c r="I19" s="35"/>
      <c r="J19" s="35"/>
      <c r="K19" s="35"/>
    </row>
    <row r="20" spans="1:11" ht="14.5" x14ac:dyDescent="0.35">
      <c r="A20" s="35"/>
      <c r="B20" s="35"/>
      <c r="C20" s="35"/>
      <c r="D20" s="35"/>
      <c r="E20" s="35"/>
      <c r="F20" s="35"/>
      <c r="G20" s="35"/>
      <c r="H20" s="35"/>
      <c r="I20" s="35"/>
      <c r="J20" s="35"/>
      <c r="K20" s="35"/>
    </row>
    <row r="21" spans="1:11" ht="14.5" x14ac:dyDescent="0.35">
      <c r="A21" s="45" t="s">
        <v>3</v>
      </c>
      <c r="B21" s="35"/>
      <c r="C21" s="35"/>
      <c r="D21" s="35"/>
      <c r="E21" s="35"/>
      <c r="F21" s="35"/>
      <c r="G21" s="35"/>
      <c r="H21" s="35"/>
      <c r="I21" s="35"/>
      <c r="J21" s="35"/>
      <c r="K21" s="35"/>
    </row>
    <row r="22" spans="1:11" ht="14.5" x14ac:dyDescent="0.35">
      <c r="A22" s="35"/>
      <c r="B22" s="35"/>
      <c r="C22" s="35"/>
      <c r="D22" s="35"/>
      <c r="E22" s="35"/>
      <c r="F22" s="35"/>
      <c r="G22" s="35"/>
      <c r="H22" s="35"/>
      <c r="I22" s="35"/>
      <c r="J22" s="35"/>
      <c r="K22" s="35"/>
    </row>
    <row r="23" spans="1:11" ht="14.5" x14ac:dyDescent="0.35">
      <c r="A23" s="45" t="s">
        <v>292</v>
      </c>
      <c r="B23" s="35"/>
      <c r="C23" s="35"/>
      <c r="D23" s="35"/>
      <c r="E23" s="35"/>
      <c r="F23" s="35"/>
      <c r="G23" s="35"/>
      <c r="H23" s="35"/>
      <c r="I23" s="35"/>
      <c r="J23" s="35"/>
      <c r="K23" s="35"/>
    </row>
  </sheetData>
  <mergeCells count="3">
    <mergeCell ref="A15:K15"/>
    <mergeCell ref="A16:K16"/>
    <mergeCell ref="A1:K1"/>
  </mergeCells>
  <hyperlinks>
    <hyperlink ref="A19" r:id="rId1" xr:uid="{00000000-0004-0000-0900-000000000000}"/>
    <hyperlink ref="A21" location="'Technical specifications'!A1" display="Technical specifications" xr:uid="{00000000-0004-0000-0900-000001000000}"/>
    <hyperlink ref="A23" location="Contents!A1" display="Back to contents" xr:uid="{00000000-0004-0000-09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41"/>
  <sheetViews>
    <sheetView workbookViewId="0">
      <selection sqref="A1:K1"/>
    </sheetView>
  </sheetViews>
  <sheetFormatPr defaultRowHeight="14.75" customHeight="1" x14ac:dyDescent="0.35"/>
  <cols>
    <col min="1" max="1" width="15" customWidth="1"/>
    <col min="2" max="2" width="53" customWidth="1"/>
    <col min="3" max="11" width="8.453125" customWidth="1"/>
  </cols>
  <sheetData>
    <row r="1" spans="1:11" ht="33.75" customHeight="1" x14ac:dyDescent="0.35">
      <c r="A1" s="96" t="s">
        <v>15</v>
      </c>
      <c r="B1" s="97"/>
      <c r="C1" s="97"/>
      <c r="D1" s="97"/>
      <c r="E1" s="97"/>
      <c r="F1" s="97"/>
      <c r="G1" s="97"/>
      <c r="H1" s="97"/>
      <c r="I1" s="97"/>
      <c r="J1" s="97"/>
      <c r="K1" s="97"/>
    </row>
    <row r="2" spans="1:11" ht="14.5" x14ac:dyDescent="0.35">
      <c r="A2" s="36" t="s">
        <v>337</v>
      </c>
      <c r="B2" s="36" t="s">
        <v>366</v>
      </c>
      <c r="C2" s="37" t="s">
        <v>295</v>
      </c>
      <c r="D2" s="37" t="s">
        <v>297</v>
      </c>
      <c r="E2" s="37" t="s">
        <v>298</v>
      </c>
      <c r="F2" s="37" t="s">
        <v>299</v>
      </c>
      <c r="G2" s="37" t="s">
        <v>300</v>
      </c>
      <c r="H2" s="37" t="s">
        <v>301</v>
      </c>
      <c r="I2" s="37" t="s">
        <v>302</v>
      </c>
      <c r="J2" s="37" t="s">
        <v>303</v>
      </c>
      <c r="K2" s="37" t="s">
        <v>304</v>
      </c>
    </row>
    <row r="3" spans="1:11" ht="14.5" x14ac:dyDescent="0.35">
      <c r="A3" s="38" t="s">
        <v>343</v>
      </c>
      <c r="B3" s="58" t="s">
        <v>367</v>
      </c>
      <c r="C3" s="39">
        <v>22085</v>
      </c>
      <c r="D3" s="39">
        <v>14199</v>
      </c>
      <c r="E3" s="39">
        <v>16343</v>
      </c>
      <c r="F3" s="39">
        <v>8674</v>
      </c>
      <c r="G3" s="39">
        <v>6856</v>
      </c>
      <c r="H3" s="39">
        <v>1244</v>
      </c>
      <c r="I3" s="39">
        <v>945</v>
      </c>
      <c r="J3" s="39">
        <v>1353</v>
      </c>
      <c r="K3" s="39">
        <v>71699</v>
      </c>
    </row>
    <row r="4" spans="1:11" ht="14.5" x14ac:dyDescent="0.35">
      <c r="A4" s="38" t="s">
        <v>343</v>
      </c>
      <c r="B4" s="58" t="s">
        <v>368</v>
      </c>
      <c r="C4" s="39">
        <v>107</v>
      </c>
      <c r="D4" s="39">
        <v>56</v>
      </c>
      <c r="E4" s="39">
        <v>330</v>
      </c>
      <c r="F4" s="39">
        <v>55</v>
      </c>
      <c r="G4" s="39">
        <v>39</v>
      </c>
      <c r="H4" s="39">
        <v>12</v>
      </c>
      <c r="I4" s="39">
        <v>4</v>
      </c>
      <c r="J4" s="39">
        <v>57</v>
      </c>
      <c r="K4" s="39">
        <v>660</v>
      </c>
    </row>
    <row r="5" spans="1:11" ht="14.5" x14ac:dyDescent="0.35">
      <c r="A5" s="38" t="s">
        <v>343</v>
      </c>
      <c r="B5" s="58" t="s">
        <v>1290</v>
      </c>
      <c r="C5" s="39">
        <v>4644</v>
      </c>
      <c r="D5" s="39">
        <v>2914</v>
      </c>
      <c r="E5" s="39">
        <v>2884</v>
      </c>
      <c r="F5" s="39">
        <v>1855</v>
      </c>
      <c r="G5" s="39">
        <v>1364</v>
      </c>
      <c r="H5" s="39">
        <v>164</v>
      </c>
      <c r="I5" s="39">
        <v>90</v>
      </c>
      <c r="J5" s="39">
        <v>553</v>
      </c>
      <c r="K5" s="39">
        <v>14468</v>
      </c>
    </row>
    <row r="6" spans="1:11" ht="14.5" x14ac:dyDescent="0.35">
      <c r="A6" s="38" t="s">
        <v>343</v>
      </c>
      <c r="B6" s="58" t="s">
        <v>332</v>
      </c>
      <c r="C6" s="39">
        <v>1</v>
      </c>
      <c r="D6" s="39">
        <v>0</v>
      </c>
      <c r="E6" s="39">
        <v>0</v>
      </c>
      <c r="F6" s="39">
        <v>0</v>
      </c>
      <c r="G6" s="39">
        <v>1</v>
      </c>
      <c r="H6" s="39">
        <v>0</v>
      </c>
      <c r="I6" s="39">
        <v>2</v>
      </c>
      <c r="J6" s="39">
        <v>0</v>
      </c>
      <c r="K6" s="39">
        <v>4</v>
      </c>
    </row>
    <row r="7" spans="1:11" ht="14.5" x14ac:dyDescent="0.35">
      <c r="A7" s="38" t="s">
        <v>343</v>
      </c>
      <c r="B7" s="58" t="s">
        <v>304</v>
      </c>
      <c r="C7" s="39">
        <v>26837</v>
      </c>
      <c r="D7" s="39">
        <v>17169</v>
      </c>
      <c r="E7" s="39">
        <v>19557</v>
      </c>
      <c r="F7" s="39">
        <v>10584</v>
      </c>
      <c r="G7" s="39">
        <v>8260</v>
      </c>
      <c r="H7" s="39">
        <v>1420</v>
      </c>
      <c r="I7" s="39">
        <v>1041</v>
      </c>
      <c r="J7" s="39">
        <v>1963</v>
      </c>
      <c r="K7" s="39">
        <v>86831</v>
      </c>
    </row>
    <row r="8" spans="1:11" ht="14.5" x14ac:dyDescent="0.35">
      <c r="A8" s="38" t="s">
        <v>344</v>
      </c>
      <c r="B8" s="58" t="s">
        <v>367</v>
      </c>
      <c r="C8" s="39">
        <v>208866</v>
      </c>
      <c r="D8" s="39">
        <v>153552</v>
      </c>
      <c r="E8" s="39">
        <v>198536</v>
      </c>
      <c r="F8" s="39">
        <v>60119</v>
      </c>
      <c r="G8" s="39">
        <v>51432</v>
      </c>
      <c r="H8" s="39">
        <v>17807</v>
      </c>
      <c r="I8" s="39">
        <v>9875</v>
      </c>
      <c r="J8" s="39">
        <v>12873</v>
      </c>
      <c r="K8" s="39">
        <v>713060</v>
      </c>
    </row>
    <row r="9" spans="1:11" ht="14.5" x14ac:dyDescent="0.35">
      <c r="A9" s="38" t="s">
        <v>344</v>
      </c>
      <c r="B9" s="58" t="s">
        <v>368</v>
      </c>
      <c r="C9" s="39">
        <v>3877</v>
      </c>
      <c r="D9" s="39">
        <v>2345</v>
      </c>
      <c r="E9" s="39">
        <v>2787</v>
      </c>
      <c r="F9" s="39">
        <v>1487</v>
      </c>
      <c r="G9" s="39">
        <v>1350</v>
      </c>
      <c r="H9" s="39">
        <v>387</v>
      </c>
      <c r="I9" s="39">
        <v>160</v>
      </c>
      <c r="J9" s="39">
        <v>843</v>
      </c>
      <c r="K9" s="39">
        <v>13236</v>
      </c>
    </row>
    <row r="10" spans="1:11" ht="14.5" x14ac:dyDescent="0.35">
      <c r="A10" s="38" t="s">
        <v>344</v>
      </c>
      <c r="B10" s="58" t="s">
        <v>1290</v>
      </c>
      <c r="C10" s="39">
        <v>295814</v>
      </c>
      <c r="D10" s="39">
        <v>194423</v>
      </c>
      <c r="E10" s="39">
        <v>177551</v>
      </c>
      <c r="F10" s="39">
        <v>105505</v>
      </c>
      <c r="G10" s="39">
        <v>58894</v>
      </c>
      <c r="H10" s="39">
        <v>16998</v>
      </c>
      <c r="I10" s="39">
        <v>14220</v>
      </c>
      <c r="J10" s="39">
        <v>18624</v>
      </c>
      <c r="K10" s="39">
        <v>882029</v>
      </c>
    </row>
    <row r="11" spans="1:11" ht="14.5" x14ac:dyDescent="0.35">
      <c r="A11" s="38" t="s">
        <v>344</v>
      </c>
      <c r="B11" s="58" t="s">
        <v>332</v>
      </c>
      <c r="C11" s="39">
        <v>30</v>
      </c>
      <c r="D11" s="39">
        <v>0</v>
      </c>
      <c r="E11" s="39">
        <v>0</v>
      </c>
      <c r="F11" s="39">
        <v>9</v>
      </c>
      <c r="G11" s="39">
        <v>0</v>
      </c>
      <c r="H11" s="39">
        <v>0</v>
      </c>
      <c r="I11" s="39">
        <v>50</v>
      </c>
      <c r="J11" s="39">
        <v>0</v>
      </c>
      <c r="K11" s="39">
        <v>89</v>
      </c>
    </row>
    <row r="12" spans="1:11" ht="14.5" x14ac:dyDescent="0.35">
      <c r="A12" s="38" t="s">
        <v>344</v>
      </c>
      <c r="B12" s="58" t="s">
        <v>304</v>
      </c>
      <c r="C12" s="39">
        <v>508587</v>
      </c>
      <c r="D12" s="39">
        <v>350320</v>
      </c>
      <c r="E12" s="39">
        <v>378874</v>
      </c>
      <c r="F12" s="39">
        <v>167120</v>
      </c>
      <c r="G12" s="39">
        <v>111676</v>
      </c>
      <c r="H12" s="39">
        <v>35192</v>
      </c>
      <c r="I12" s="39">
        <v>24305</v>
      </c>
      <c r="J12" s="39">
        <v>32340</v>
      </c>
      <c r="K12" s="39">
        <v>1608414</v>
      </c>
    </row>
    <row r="13" spans="1:11" ht="14.5" x14ac:dyDescent="0.35">
      <c r="A13" s="38" t="s">
        <v>345</v>
      </c>
      <c r="B13" s="58" t="s">
        <v>367</v>
      </c>
      <c r="C13" s="39">
        <v>382071</v>
      </c>
      <c r="D13" s="39">
        <v>244121</v>
      </c>
      <c r="E13" s="39">
        <v>341746</v>
      </c>
      <c r="F13" s="39">
        <v>97160</v>
      </c>
      <c r="G13" s="39">
        <v>87826</v>
      </c>
      <c r="H13" s="39">
        <v>28277</v>
      </c>
      <c r="I13" s="39">
        <v>19569</v>
      </c>
      <c r="J13" s="39">
        <v>18244</v>
      </c>
      <c r="K13" s="39">
        <v>1219014</v>
      </c>
    </row>
    <row r="14" spans="1:11" ht="14.5" x14ac:dyDescent="0.35">
      <c r="A14" s="38" t="s">
        <v>345</v>
      </c>
      <c r="B14" s="58" t="s">
        <v>368</v>
      </c>
      <c r="C14" s="39">
        <v>6586</v>
      </c>
      <c r="D14" s="39">
        <v>2405</v>
      </c>
      <c r="E14" s="39">
        <v>8958</v>
      </c>
      <c r="F14" s="39">
        <v>4686</v>
      </c>
      <c r="G14" s="39">
        <v>3653</v>
      </c>
      <c r="H14" s="39">
        <v>545</v>
      </c>
      <c r="I14" s="39">
        <v>684</v>
      </c>
      <c r="J14" s="39">
        <v>1420</v>
      </c>
      <c r="K14" s="39">
        <v>28937</v>
      </c>
    </row>
    <row r="15" spans="1:11" ht="14.5" x14ac:dyDescent="0.35">
      <c r="A15" s="38" t="s">
        <v>345</v>
      </c>
      <c r="B15" s="58" t="s">
        <v>1290</v>
      </c>
      <c r="C15" s="39">
        <v>826087</v>
      </c>
      <c r="D15" s="39">
        <v>620522</v>
      </c>
      <c r="E15" s="39">
        <v>477876</v>
      </c>
      <c r="F15" s="39">
        <v>305660</v>
      </c>
      <c r="G15" s="39">
        <v>166369</v>
      </c>
      <c r="H15" s="39">
        <v>50535</v>
      </c>
      <c r="I15" s="39">
        <v>52945</v>
      </c>
      <c r="J15" s="39">
        <v>41536</v>
      </c>
      <c r="K15" s="39">
        <v>2541530</v>
      </c>
    </row>
    <row r="16" spans="1:11" ht="14.5" x14ac:dyDescent="0.35">
      <c r="A16" s="38" t="s">
        <v>345</v>
      </c>
      <c r="B16" s="58" t="s">
        <v>332</v>
      </c>
      <c r="C16" s="39">
        <v>47</v>
      </c>
      <c r="D16" s="39">
        <v>0</v>
      </c>
      <c r="E16" s="39">
        <v>0</v>
      </c>
      <c r="F16" s="39">
        <v>20</v>
      </c>
      <c r="G16" s="39">
        <v>4</v>
      </c>
      <c r="H16" s="39">
        <v>0</v>
      </c>
      <c r="I16" s="39">
        <v>124</v>
      </c>
      <c r="J16" s="39">
        <v>0</v>
      </c>
      <c r="K16" s="39">
        <v>195</v>
      </c>
    </row>
    <row r="17" spans="1:11" ht="14.5" x14ac:dyDescent="0.35">
      <c r="A17" s="38" t="s">
        <v>345</v>
      </c>
      <c r="B17" s="58" t="s">
        <v>304</v>
      </c>
      <c r="C17" s="39">
        <v>1214791</v>
      </c>
      <c r="D17" s="39">
        <v>867048</v>
      </c>
      <c r="E17" s="39">
        <v>828580</v>
      </c>
      <c r="F17" s="39">
        <v>407526</v>
      </c>
      <c r="G17" s="39">
        <v>257852</v>
      </c>
      <c r="H17" s="39">
        <v>79357</v>
      </c>
      <c r="I17" s="39">
        <v>73322</v>
      </c>
      <c r="J17" s="39">
        <v>61200</v>
      </c>
      <c r="K17" s="39">
        <v>3789676</v>
      </c>
    </row>
    <row r="18" spans="1:11" ht="14.5" x14ac:dyDescent="0.35">
      <c r="A18" s="38" t="s">
        <v>346</v>
      </c>
      <c r="B18" s="58" t="s">
        <v>367</v>
      </c>
      <c r="C18" s="39">
        <v>145169</v>
      </c>
      <c r="D18" s="39">
        <v>67555</v>
      </c>
      <c r="E18" s="39">
        <v>93023</v>
      </c>
      <c r="F18" s="39">
        <v>35578</v>
      </c>
      <c r="G18" s="39">
        <v>33183</v>
      </c>
      <c r="H18" s="39">
        <v>7904</v>
      </c>
      <c r="I18" s="39">
        <v>6280</v>
      </c>
      <c r="J18" s="39">
        <v>8335</v>
      </c>
      <c r="K18" s="39">
        <v>397027</v>
      </c>
    </row>
    <row r="19" spans="1:11" ht="14.5" x14ac:dyDescent="0.35">
      <c r="A19" s="38" t="s">
        <v>346</v>
      </c>
      <c r="B19" s="58" t="s">
        <v>368</v>
      </c>
      <c r="C19" s="39">
        <v>3518</v>
      </c>
      <c r="D19" s="39">
        <v>739</v>
      </c>
      <c r="E19" s="39">
        <v>3397</v>
      </c>
      <c r="F19" s="39">
        <v>2843</v>
      </c>
      <c r="G19" s="39">
        <v>2512</v>
      </c>
      <c r="H19" s="39">
        <v>141</v>
      </c>
      <c r="I19" s="39">
        <v>248</v>
      </c>
      <c r="J19" s="39">
        <v>1585</v>
      </c>
      <c r="K19" s="39">
        <v>14983</v>
      </c>
    </row>
    <row r="20" spans="1:11" ht="14.5" x14ac:dyDescent="0.35">
      <c r="A20" s="38" t="s">
        <v>346</v>
      </c>
      <c r="B20" s="58" t="s">
        <v>1290</v>
      </c>
      <c r="C20" s="39">
        <v>991193</v>
      </c>
      <c r="D20" s="39">
        <v>571502</v>
      </c>
      <c r="E20" s="39">
        <v>379832</v>
      </c>
      <c r="F20" s="39">
        <v>350127</v>
      </c>
      <c r="G20" s="39">
        <v>173992</v>
      </c>
      <c r="H20" s="39">
        <v>51824</v>
      </c>
      <c r="I20" s="39">
        <v>51561</v>
      </c>
      <c r="J20" s="39">
        <v>68825</v>
      </c>
      <c r="K20" s="39">
        <v>2638856</v>
      </c>
    </row>
    <row r="21" spans="1:11" ht="14.5" x14ac:dyDescent="0.35">
      <c r="A21" s="38" t="s">
        <v>346</v>
      </c>
      <c r="B21" s="58" t="s">
        <v>332</v>
      </c>
      <c r="C21" s="39">
        <v>44</v>
      </c>
      <c r="D21" s="39">
        <v>0</v>
      </c>
      <c r="E21" s="39">
        <v>0</v>
      </c>
      <c r="F21" s="39">
        <v>11</v>
      </c>
      <c r="G21" s="39">
        <v>0</v>
      </c>
      <c r="H21" s="39">
        <v>0</v>
      </c>
      <c r="I21" s="39">
        <v>69</v>
      </c>
      <c r="J21" s="39">
        <v>0</v>
      </c>
      <c r="K21" s="39">
        <v>124</v>
      </c>
    </row>
    <row r="22" spans="1:11" ht="14.5" x14ac:dyDescent="0.35">
      <c r="A22" s="38" t="s">
        <v>346</v>
      </c>
      <c r="B22" s="58" t="s">
        <v>304</v>
      </c>
      <c r="C22" s="39">
        <v>1139924</v>
      </c>
      <c r="D22" s="39">
        <v>639796</v>
      </c>
      <c r="E22" s="39">
        <v>476252</v>
      </c>
      <c r="F22" s="39">
        <v>388559</v>
      </c>
      <c r="G22" s="39">
        <v>209687</v>
      </c>
      <c r="H22" s="39">
        <v>59869</v>
      </c>
      <c r="I22" s="39">
        <v>58158</v>
      </c>
      <c r="J22" s="39">
        <v>78745</v>
      </c>
      <c r="K22" s="39">
        <v>3050990</v>
      </c>
    </row>
    <row r="23" spans="1:11" ht="14.5" x14ac:dyDescent="0.35">
      <c r="A23" s="38" t="s">
        <v>347</v>
      </c>
      <c r="B23" s="58" t="s">
        <v>367</v>
      </c>
      <c r="C23" s="39">
        <v>9575</v>
      </c>
      <c r="D23" s="39">
        <v>1848</v>
      </c>
      <c r="E23" s="39">
        <v>4801</v>
      </c>
      <c r="F23" s="39">
        <v>1524</v>
      </c>
      <c r="G23" s="39">
        <v>1611</v>
      </c>
      <c r="H23" s="39">
        <v>261</v>
      </c>
      <c r="I23" s="39">
        <v>280</v>
      </c>
      <c r="J23" s="39">
        <v>355</v>
      </c>
      <c r="K23" s="39">
        <v>20255</v>
      </c>
    </row>
    <row r="24" spans="1:11" ht="14.5" x14ac:dyDescent="0.35">
      <c r="A24" s="38" t="s">
        <v>347</v>
      </c>
      <c r="B24" s="58" t="s">
        <v>368</v>
      </c>
      <c r="C24" s="39">
        <v>1666</v>
      </c>
      <c r="D24" s="39">
        <v>163</v>
      </c>
      <c r="E24" s="39">
        <v>890</v>
      </c>
      <c r="F24" s="39">
        <v>687</v>
      </c>
      <c r="G24" s="39">
        <v>535</v>
      </c>
      <c r="H24" s="39">
        <v>129</v>
      </c>
      <c r="I24" s="39">
        <v>45</v>
      </c>
      <c r="J24" s="39">
        <v>184</v>
      </c>
      <c r="K24" s="39">
        <v>4299</v>
      </c>
    </row>
    <row r="25" spans="1:11" ht="14.5" x14ac:dyDescent="0.35">
      <c r="A25" s="38" t="s">
        <v>347</v>
      </c>
      <c r="B25" s="58" t="s">
        <v>1290</v>
      </c>
      <c r="C25" s="39">
        <v>256515</v>
      </c>
      <c r="D25" s="39">
        <v>101864</v>
      </c>
      <c r="E25" s="39">
        <v>57885</v>
      </c>
      <c r="F25" s="39">
        <v>50839</v>
      </c>
      <c r="G25" s="39">
        <v>33255</v>
      </c>
      <c r="H25" s="39">
        <v>6888</v>
      </c>
      <c r="I25" s="39">
        <v>10040</v>
      </c>
      <c r="J25" s="39">
        <v>13329</v>
      </c>
      <c r="K25" s="39">
        <v>530615</v>
      </c>
    </row>
    <row r="26" spans="1:11" ht="14.5" x14ac:dyDescent="0.35">
      <c r="A26" s="38" t="s">
        <v>347</v>
      </c>
      <c r="B26" s="58" t="s">
        <v>332</v>
      </c>
      <c r="C26" s="39">
        <v>26</v>
      </c>
      <c r="D26" s="39">
        <v>0</v>
      </c>
      <c r="E26" s="39">
        <v>0</v>
      </c>
      <c r="F26" s="39">
        <v>0</v>
      </c>
      <c r="G26" s="39">
        <v>0</v>
      </c>
      <c r="H26" s="39">
        <v>0</v>
      </c>
      <c r="I26" s="39">
        <v>25</v>
      </c>
      <c r="J26" s="39">
        <v>1</v>
      </c>
      <c r="K26" s="39">
        <v>52</v>
      </c>
    </row>
    <row r="27" spans="1:11" ht="14.5" x14ac:dyDescent="0.35">
      <c r="A27" s="38" t="s">
        <v>347</v>
      </c>
      <c r="B27" s="58" t="s">
        <v>304</v>
      </c>
      <c r="C27" s="39">
        <v>267782</v>
      </c>
      <c r="D27" s="39">
        <v>103875</v>
      </c>
      <c r="E27" s="39">
        <v>63576</v>
      </c>
      <c r="F27" s="39">
        <v>53050</v>
      </c>
      <c r="G27" s="39">
        <v>35401</v>
      </c>
      <c r="H27" s="39">
        <v>7278</v>
      </c>
      <c r="I27" s="39">
        <v>10390</v>
      </c>
      <c r="J27" s="39">
        <v>13869</v>
      </c>
      <c r="K27" s="39">
        <v>555221</v>
      </c>
    </row>
    <row r="28" spans="1:11" ht="14.5" x14ac:dyDescent="0.35">
      <c r="A28" s="60" t="s">
        <v>1275</v>
      </c>
      <c r="B28" s="46" t="s">
        <v>367</v>
      </c>
      <c r="C28" s="47">
        <v>767836</v>
      </c>
      <c r="D28" s="47">
        <v>481288</v>
      </c>
      <c r="E28" s="47">
        <v>654449</v>
      </c>
      <c r="F28" s="47">
        <v>203055</v>
      </c>
      <c r="G28" s="47">
        <v>180908</v>
      </c>
      <c r="H28" s="47">
        <v>55497</v>
      </c>
      <c r="I28" s="47">
        <v>36985</v>
      </c>
      <c r="J28" s="47">
        <v>41160</v>
      </c>
      <c r="K28" s="47">
        <v>2421178</v>
      </c>
    </row>
    <row r="29" spans="1:11" ht="14.5" x14ac:dyDescent="0.35">
      <c r="A29" s="60" t="s">
        <v>1275</v>
      </c>
      <c r="B29" s="46" t="s">
        <v>368</v>
      </c>
      <c r="C29" s="47">
        <v>15765</v>
      </c>
      <c r="D29" s="47">
        <v>5708</v>
      </c>
      <c r="E29" s="47">
        <v>16362</v>
      </c>
      <c r="F29" s="47">
        <v>9759</v>
      </c>
      <c r="G29" s="47">
        <v>8089</v>
      </c>
      <c r="H29" s="47">
        <v>1214</v>
      </c>
      <c r="I29" s="47">
        <v>1146</v>
      </c>
      <c r="J29" s="47">
        <v>4089</v>
      </c>
      <c r="K29" s="47">
        <v>62132</v>
      </c>
    </row>
    <row r="30" spans="1:11" ht="14.5" x14ac:dyDescent="0.35">
      <c r="A30" s="60" t="s">
        <v>1275</v>
      </c>
      <c r="B30" s="46" t="s">
        <v>369</v>
      </c>
      <c r="C30" s="47">
        <v>2376712</v>
      </c>
      <c r="D30" s="47">
        <v>1491271</v>
      </c>
      <c r="E30" s="47">
        <v>1096028</v>
      </c>
      <c r="F30" s="47">
        <v>814163</v>
      </c>
      <c r="G30" s="47">
        <v>433874</v>
      </c>
      <c r="H30" s="47">
        <v>126409</v>
      </c>
      <c r="I30" s="47">
        <v>129126</v>
      </c>
      <c r="J30" s="47">
        <v>142867</v>
      </c>
      <c r="K30" s="47">
        <v>6610450</v>
      </c>
    </row>
    <row r="31" spans="1:11" ht="14.5" x14ac:dyDescent="0.35">
      <c r="A31" s="60" t="s">
        <v>1275</v>
      </c>
      <c r="B31" s="46" t="s">
        <v>332</v>
      </c>
      <c r="C31" s="47">
        <v>160</v>
      </c>
      <c r="D31" s="47">
        <v>0</v>
      </c>
      <c r="E31" s="47">
        <v>0</v>
      </c>
      <c r="F31" s="47">
        <v>40</v>
      </c>
      <c r="G31" s="47">
        <v>5</v>
      </c>
      <c r="H31" s="47">
        <v>0</v>
      </c>
      <c r="I31" s="47">
        <v>346</v>
      </c>
      <c r="J31" s="47">
        <v>1</v>
      </c>
      <c r="K31" s="47">
        <v>552</v>
      </c>
    </row>
    <row r="32" spans="1:11" ht="15" thickBot="1" x14ac:dyDescent="0.4">
      <c r="A32" s="54" t="s">
        <v>1275</v>
      </c>
      <c r="B32" s="41" t="s">
        <v>304</v>
      </c>
      <c r="C32" s="42">
        <v>3160473</v>
      </c>
      <c r="D32" s="42">
        <v>1978267</v>
      </c>
      <c r="E32" s="42">
        <v>1766839</v>
      </c>
      <c r="F32" s="42">
        <v>1027017</v>
      </c>
      <c r="G32" s="42">
        <v>622876</v>
      </c>
      <c r="H32" s="42">
        <v>183120</v>
      </c>
      <c r="I32" s="42">
        <v>167603</v>
      </c>
      <c r="J32" s="42">
        <v>188117</v>
      </c>
      <c r="K32" s="42">
        <v>9094312</v>
      </c>
    </row>
    <row r="33" spans="1:11" ht="14.5" x14ac:dyDescent="0.35">
      <c r="A33" s="98" t="s">
        <v>370</v>
      </c>
      <c r="B33" s="99"/>
      <c r="C33" s="99"/>
      <c r="D33" s="99"/>
      <c r="E33" s="99"/>
      <c r="F33" s="99"/>
      <c r="G33" s="99"/>
      <c r="H33" s="99"/>
      <c r="I33" s="99"/>
      <c r="J33" s="99"/>
      <c r="K33" s="99"/>
    </row>
    <row r="34" spans="1:11" ht="14.5" x14ac:dyDescent="0.35">
      <c r="A34" s="98" t="s">
        <v>357</v>
      </c>
      <c r="B34" s="99"/>
      <c r="C34" s="99"/>
      <c r="D34" s="99"/>
      <c r="E34" s="99"/>
      <c r="F34" s="99"/>
      <c r="G34" s="99"/>
      <c r="H34" s="99"/>
      <c r="I34" s="99"/>
      <c r="J34" s="99"/>
      <c r="K34" s="99"/>
    </row>
    <row r="35" spans="1:11" ht="14.5" x14ac:dyDescent="0.35">
      <c r="A35" s="44"/>
      <c r="B35" s="35"/>
      <c r="C35" s="35"/>
      <c r="D35" s="35"/>
      <c r="E35" s="35"/>
      <c r="F35" s="35"/>
      <c r="G35" s="35"/>
      <c r="H35" s="35"/>
      <c r="I35" s="35"/>
      <c r="J35" s="35"/>
      <c r="K35" s="35"/>
    </row>
    <row r="36" spans="1:11" ht="14.5" x14ac:dyDescent="0.35">
      <c r="A36" s="35" t="s">
        <v>290</v>
      </c>
      <c r="B36" s="35"/>
      <c r="C36" s="35"/>
      <c r="D36" s="35"/>
      <c r="E36" s="35"/>
      <c r="F36" s="35"/>
      <c r="G36" s="35"/>
      <c r="H36" s="35"/>
      <c r="I36" s="35"/>
      <c r="J36" s="35"/>
      <c r="K36" s="35"/>
    </row>
    <row r="37" spans="1:11" ht="14.5" x14ac:dyDescent="0.35">
      <c r="A37" s="45" t="s">
        <v>291</v>
      </c>
      <c r="B37" s="35"/>
      <c r="C37" s="35"/>
      <c r="D37" s="35"/>
      <c r="E37" s="35"/>
      <c r="F37" s="35"/>
      <c r="G37" s="35"/>
      <c r="H37" s="35"/>
      <c r="I37" s="35"/>
      <c r="J37" s="35"/>
      <c r="K37" s="35"/>
    </row>
    <row r="38" spans="1:11" ht="14.5" x14ac:dyDescent="0.35">
      <c r="A38" s="35"/>
      <c r="B38" s="35"/>
      <c r="C38" s="35"/>
      <c r="D38" s="35"/>
      <c r="E38" s="35"/>
      <c r="F38" s="35"/>
      <c r="G38" s="35"/>
      <c r="H38" s="35"/>
      <c r="I38" s="35"/>
      <c r="J38" s="35"/>
      <c r="K38" s="35"/>
    </row>
    <row r="39" spans="1:11" ht="14.5" x14ac:dyDescent="0.35">
      <c r="A39" s="45" t="s">
        <v>3</v>
      </c>
      <c r="B39" s="35"/>
      <c r="C39" s="35"/>
      <c r="D39" s="35"/>
      <c r="E39" s="35"/>
      <c r="F39" s="35"/>
      <c r="G39" s="35"/>
      <c r="H39" s="35"/>
      <c r="I39" s="35"/>
      <c r="J39" s="35"/>
      <c r="K39" s="35"/>
    </row>
    <row r="40" spans="1:11" ht="14.5" x14ac:dyDescent="0.35">
      <c r="A40" s="35"/>
      <c r="B40" s="35"/>
      <c r="C40" s="35"/>
      <c r="D40" s="35"/>
      <c r="E40" s="35"/>
      <c r="F40" s="35"/>
      <c r="G40" s="35"/>
      <c r="H40" s="35"/>
      <c r="I40" s="35"/>
      <c r="J40" s="35"/>
      <c r="K40" s="35"/>
    </row>
    <row r="41" spans="1:11" ht="14.5" x14ac:dyDescent="0.35">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0A00-000000000000}"/>
    <hyperlink ref="A39" location="'Technical specifications'!A1" display="Technical specifications" xr:uid="{00000000-0004-0000-0A00-000001000000}"/>
    <hyperlink ref="A41" location="Contents!A1" display="Back to contents" xr:uid="{00000000-0004-0000-0A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66"/>
  <sheetViews>
    <sheetView workbookViewId="0">
      <selection sqref="A1:I1"/>
    </sheetView>
  </sheetViews>
  <sheetFormatPr defaultRowHeight="14.75" customHeight="1" x14ac:dyDescent="0.35"/>
  <cols>
    <col min="1" max="1" width="8.453125" customWidth="1"/>
    <col min="2" max="2" width="9" customWidth="1"/>
    <col min="3" max="3" width="23" customWidth="1"/>
    <col min="4" max="9" width="14.36328125" customWidth="1"/>
  </cols>
  <sheetData>
    <row r="1" spans="1:9" ht="33.75" customHeight="1" x14ac:dyDescent="0.35">
      <c r="A1" s="96" t="s">
        <v>371</v>
      </c>
      <c r="B1" s="97"/>
      <c r="C1" s="97"/>
      <c r="D1" s="97"/>
      <c r="E1" s="97"/>
      <c r="F1" s="97"/>
      <c r="G1" s="97"/>
      <c r="H1" s="97"/>
      <c r="I1" s="97"/>
    </row>
    <row r="2" spans="1:9" ht="14.5" x14ac:dyDescent="0.35">
      <c r="A2" s="36" t="s">
        <v>307</v>
      </c>
      <c r="B2" s="36" t="s">
        <v>308</v>
      </c>
      <c r="C2" s="36" t="s">
        <v>294</v>
      </c>
      <c r="D2" s="37" t="s">
        <v>343</v>
      </c>
      <c r="E2" s="37" t="s">
        <v>344</v>
      </c>
      <c r="F2" s="37" t="s">
        <v>345</v>
      </c>
      <c r="G2" s="37" t="s">
        <v>346</v>
      </c>
      <c r="H2" s="37" t="s">
        <v>347</v>
      </c>
      <c r="I2" s="37" t="s">
        <v>304</v>
      </c>
    </row>
    <row r="3" spans="1:9" ht="14.5" x14ac:dyDescent="0.35">
      <c r="A3" s="38" t="s">
        <v>309</v>
      </c>
      <c r="B3" s="38" t="s">
        <v>310</v>
      </c>
      <c r="C3" s="38" t="s">
        <v>296</v>
      </c>
      <c r="D3" s="39">
        <v>2562</v>
      </c>
      <c r="E3" s="39">
        <v>88905</v>
      </c>
      <c r="F3" s="39">
        <v>216869</v>
      </c>
      <c r="G3" s="39">
        <v>174975</v>
      </c>
      <c r="H3" s="39">
        <v>16653</v>
      </c>
      <c r="I3" s="39">
        <v>500071</v>
      </c>
    </row>
    <row r="4" spans="1:9" ht="14.5" x14ac:dyDescent="0.35">
      <c r="A4" s="38" t="s">
        <v>309</v>
      </c>
      <c r="B4" s="38" t="s">
        <v>311</v>
      </c>
      <c r="C4" s="38" t="s">
        <v>296</v>
      </c>
      <c r="D4" s="39">
        <v>1942</v>
      </c>
      <c r="E4" s="39">
        <v>49737</v>
      </c>
      <c r="F4" s="39">
        <v>159640</v>
      </c>
      <c r="G4" s="39">
        <v>219570</v>
      </c>
      <c r="H4" s="39">
        <v>36144</v>
      </c>
      <c r="I4" s="39">
        <v>467154</v>
      </c>
    </row>
    <row r="5" spans="1:9" ht="14.5" x14ac:dyDescent="0.35">
      <c r="A5" s="38" t="s">
        <v>309</v>
      </c>
      <c r="B5" s="38" t="s">
        <v>312</v>
      </c>
      <c r="C5" s="38" t="s">
        <v>296</v>
      </c>
      <c r="D5" s="39">
        <v>4333</v>
      </c>
      <c r="E5" s="39">
        <v>71364</v>
      </c>
      <c r="F5" s="39">
        <v>165704</v>
      </c>
      <c r="G5" s="39">
        <v>198944</v>
      </c>
      <c r="H5" s="39">
        <v>43957</v>
      </c>
      <c r="I5" s="39">
        <v>484524</v>
      </c>
    </row>
    <row r="6" spans="1:9" ht="14.5" x14ac:dyDescent="0.35">
      <c r="A6" s="38" t="s">
        <v>309</v>
      </c>
      <c r="B6" s="38" t="s">
        <v>313</v>
      </c>
      <c r="C6" s="38" t="s">
        <v>296</v>
      </c>
      <c r="D6" s="39">
        <v>5404</v>
      </c>
      <c r="E6" s="39">
        <v>80560</v>
      </c>
      <c r="F6" s="39">
        <v>188544</v>
      </c>
      <c r="G6" s="39">
        <v>195519</v>
      </c>
      <c r="H6" s="39">
        <v>44458</v>
      </c>
      <c r="I6" s="39">
        <v>514763</v>
      </c>
    </row>
    <row r="7" spans="1:9" ht="14.5" x14ac:dyDescent="0.35">
      <c r="A7" s="38" t="s">
        <v>309</v>
      </c>
      <c r="B7" s="38" t="s">
        <v>314</v>
      </c>
      <c r="C7" s="38" t="s">
        <v>296</v>
      </c>
      <c r="D7" s="39">
        <v>5643</v>
      </c>
      <c r="E7" s="39">
        <v>88839</v>
      </c>
      <c r="F7" s="39">
        <v>187035</v>
      </c>
      <c r="G7" s="39">
        <v>177322</v>
      </c>
      <c r="H7" s="39">
        <v>39990</v>
      </c>
      <c r="I7" s="39">
        <v>499091</v>
      </c>
    </row>
    <row r="8" spans="1:9" ht="14.5" x14ac:dyDescent="0.35">
      <c r="A8" s="38" t="s">
        <v>309</v>
      </c>
      <c r="B8" s="38" t="s">
        <v>315</v>
      </c>
      <c r="C8" s="38" t="s">
        <v>296</v>
      </c>
      <c r="D8" s="39">
        <v>5739</v>
      </c>
      <c r="E8" s="39">
        <v>95492</v>
      </c>
      <c r="F8" s="39">
        <v>177876</v>
      </c>
      <c r="G8" s="39">
        <v>151373</v>
      </c>
      <c r="H8" s="39">
        <v>35537</v>
      </c>
      <c r="I8" s="39">
        <v>466271</v>
      </c>
    </row>
    <row r="9" spans="1:9" ht="14.5" x14ac:dyDescent="0.35">
      <c r="A9" s="38" t="s">
        <v>309</v>
      </c>
      <c r="B9" s="38" t="s">
        <v>316</v>
      </c>
      <c r="C9" s="38" t="s">
        <v>296</v>
      </c>
      <c r="D9" s="39">
        <v>6491</v>
      </c>
      <c r="E9" s="39">
        <v>106365</v>
      </c>
      <c r="F9" s="39">
        <v>183426</v>
      </c>
      <c r="G9" s="39">
        <v>137606</v>
      </c>
      <c r="H9" s="39">
        <v>32277</v>
      </c>
      <c r="I9" s="39">
        <v>466348</v>
      </c>
    </row>
    <row r="10" spans="1:9" ht="14.5" x14ac:dyDescent="0.35">
      <c r="A10" s="38" t="s">
        <v>309</v>
      </c>
      <c r="B10" s="38" t="s">
        <v>317</v>
      </c>
      <c r="C10" s="38" t="s">
        <v>296</v>
      </c>
      <c r="D10" s="39">
        <v>7037</v>
      </c>
      <c r="E10" s="39">
        <v>107064</v>
      </c>
      <c r="F10" s="39">
        <v>187498</v>
      </c>
      <c r="G10" s="39">
        <v>117504</v>
      </c>
      <c r="H10" s="39">
        <v>26011</v>
      </c>
      <c r="I10" s="39">
        <v>445267</v>
      </c>
    </row>
    <row r="11" spans="1:9" ht="14.5" x14ac:dyDescent="0.35">
      <c r="A11" s="38" t="s">
        <v>309</v>
      </c>
      <c r="B11" s="38" t="s">
        <v>318</v>
      </c>
      <c r="C11" s="38" t="s">
        <v>296</v>
      </c>
      <c r="D11" s="39">
        <v>6791</v>
      </c>
      <c r="E11" s="39">
        <v>98402</v>
      </c>
      <c r="F11" s="39">
        <v>190291</v>
      </c>
      <c r="G11" s="39">
        <v>101074</v>
      </c>
      <c r="H11" s="39">
        <v>19258</v>
      </c>
      <c r="I11" s="39">
        <v>415927</v>
      </c>
    </row>
    <row r="12" spans="1:9" ht="14.5" x14ac:dyDescent="0.35">
      <c r="A12" s="38" t="s">
        <v>309</v>
      </c>
      <c r="B12" s="38" t="s">
        <v>319</v>
      </c>
      <c r="C12" s="38" t="s">
        <v>296</v>
      </c>
      <c r="D12" s="39">
        <v>2274</v>
      </c>
      <c r="E12" s="39">
        <v>30637</v>
      </c>
      <c r="F12" s="39">
        <v>65293</v>
      </c>
      <c r="G12" s="39">
        <v>30330</v>
      </c>
      <c r="H12" s="39">
        <v>4808</v>
      </c>
      <c r="I12" s="39">
        <v>133372</v>
      </c>
    </row>
    <row r="13" spans="1:9" ht="14.5" x14ac:dyDescent="0.35">
      <c r="A13" s="38" t="s">
        <v>309</v>
      </c>
      <c r="B13" s="38" t="s">
        <v>320</v>
      </c>
      <c r="C13" s="38" t="s">
        <v>296</v>
      </c>
      <c r="D13" s="39">
        <v>1148</v>
      </c>
      <c r="E13" s="39">
        <v>14354</v>
      </c>
      <c r="F13" s="39">
        <v>31790</v>
      </c>
      <c r="G13" s="39">
        <v>13716</v>
      </c>
      <c r="H13" s="39">
        <v>1708</v>
      </c>
      <c r="I13" s="39">
        <v>62729</v>
      </c>
    </row>
    <row r="14" spans="1:9" ht="14.5" x14ac:dyDescent="0.35">
      <c r="A14" s="38" t="s">
        <v>309</v>
      </c>
      <c r="B14" s="38" t="s">
        <v>321</v>
      </c>
      <c r="C14" s="38" t="s">
        <v>296</v>
      </c>
      <c r="D14" s="39">
        <v>397</v>
      </c>
      <c r="E14" s="39">
        <v>4074</v>
      </c>
      <c r="F14" s="39">
        <v>9162</v>
      </c>
      <c r="G14" s="39">
        <v>3685</v>
      </c>
      <c r="H14" s="39">
        <v>415</v>
      </c>
      <c r="I14" s="39">
        <v>17735</v>
      </c>
    </row>
    <row r="15" spans="1:9" ht="14.5" x14ac:dyDescent="0.35">
      <c r="A15" s="38" t="s">
        <v>309</v>
      </c>
      <c r="B15" s="58" t="s">
        <v>1280</v>
      </c>
      <c r="C15" s="38" t="s">
        <v>296</v>
      </c>
      <c r="D15" s="39">
        <v>49810</v>
      </c>
      <c r="E15" s="39">
        <v>835885</v>
      </c>
      <c r="F15" s="39">
        <v>1763180</v>
      </c>
      <c r="G15" s="39">
        <v>1521637</v>
      </c>
      <c r="H15" s="39">
        <v>301230</v>
      </c>
      <c r="I15" s="39">
        <v>4473478</v>
      </c>
    </row>
    <row r="16" spans="1:9" ht="14.5" x14ac:dyDescent="0.35">
      <c r="A16" s="38" t="s">
        <v>322</v>
      </c>
      <c r="B16" s="38" t="s">
        <v>310</v>
      </c>
      <c r="C16" s="38" t="s">
        <v>296</v>
      </c>
      <c r="D16" s="39">
        <v>1848</v>
      </c>
      <c r="E16" s="39">
        <v>62534</v>
      </c>
      <c r="F16" s="39">
        <v>170051</v>
      </c>
      <c r="G16" s="39">
        <v>144498</v>
      </c>
      <c r="H16" s="39">
        <v>13982</v>
      </c>
      <c r="I16" s="39">
        <v>392997</v>
      </c>
    </row>
    <row r="17" spans="1:9" ht="14.5" x14ac:dyDescent="0.35">
      <c r="A17" s="38" t="s">
        <v>322</v>
      </c>
      <c r="B17" s="38" t="s">
        <v>311</v>
      </c>
      <c r="C17" s="38" t="s">
        <v>296</v>
      </c>
      <c r="D17" s="39">
        <v>1222</v>
      </c>
      <c r="E17" s="39">
        <v>32379</v>
      </c>
      <c r="F17" s="39">
        <v>133472</v>
      </c>
      <c r="G17" s="39">
        <v>180742</v>
      </c>
      <c r="H17" s="39">
        <v>30022</v>
      </c>
      <c r="I17" s="39">
        <v>377933</v>
      </c>
    </row>
    <row r="18" spans="1:9" ht="14.5" x14ac:dyDescent="0.35">
      <c r="A18" s="38" t="s">
        <v>322</v>
      </c>
      <c r="B18" s="38" t="s">
        <v>312</v>
      </c>
      <c r="C18" s="38" t="s">
        <v>296</v>
      </c>
      <c r="D18" s="39">
        <v>3638</v>
      </c>
      <c r="E18" s="39">
        <v>78988</v>
      </c>
      <c r="F18" s="39">
        <v>256526</v>
      </c>
      <c r="G18" s="39">
        <v>216753</v>
      </c>
      <c r="H18" s="39">
        <v>38507</v>
      </c>
      <c r="I18" s="39">
        <v>594644</v>
      </c>
    </row>
    <row r="19" spans="1:9" ht="14.5" x14ac:dyDescent="0.35">
      <c r="A19" s="38" t="s">
        <v>322</v>
      </c>
      <c r="B19" s="38" t="s">
        <v>313</v>
      </c>
      <c r="C19" s="38" t="s">
        <v>296</v>
      </c>
      <c r="D19" s="39">
        <v>4324</v>
      </c>
      <c r="E19" s="39">
        <v>95314</v>
      </c>
      <c r="F19" s="39">
        <v>316489</v>
      </c>
      <c r="G19" s="39">
        <v>236534</v>
      </c>
      <c r="H19" s="39">
        <v>41316</v>
      </c>
      <c r="I19" s="39">
        <v>694270</v>
      </c>
    </row>
    <row r="20" spans="1:9" ht="14.5" x14ac:dyDescent="0.35">
      <c r="A20" s="38" t="s">
        <v>322</v>
      </c>
      <c r="B20" s="38" t="s">
        <v>314</v>
      </c>
      <c r="C20" s="38" t="s">
        <v>296</v>
      </c>
      <c r="D20" s="39">
        <v>3792</v>
      </c>
      <c r="E20" s="39">
        <v>88244</v>
      </c>
      <c r="F20" s="39">
        <v>246982</v>
      </c>
      <c r="G20" s="39">
        <v>186201</v>
      </c>
      <c r="H20" s="39">
        <v>33470</v>
      </c>
      <c r="I20" s="39">
        <v>558932</v>
      </c>
    </row>
    <row r="21" spans="1:9" ht="14.5" x14ac:dyDescent="0.35">
      <c r="A21" s="38" t="s">
        <v>322</v>
      </c>
      <c r="B21" s="38" t="s">
        <v>315</v>
      </c>
      <c r="C21" s="38" t="s">
        <v>296</v>
      </c>
      <c r="D21" s="39">
        <v>3736</v>
      </c>
      <c r="E21" s="39">
        <v>86270</v>
      </c>
      <c r="F21" s="39">
        <v>194049</v>
      </c>
      <c r="G21" s="39">
        <v>148001</v>
      </c>
      <c r="H21" s="39">
        <v>28067</v>
      </c>
      <c r="I21" s="39">
        <v>460267</v>
      </c>
    </row>
    <row r="22" spans="1:9" ht="14.5" x14ac:dyDescent="0.35">
      <c r="A22" s="38" t="s">
        <v>322</v>
      </c>
      <c r="B22" s="38" t="s">
        <v>316</v>
      </c>
      <c r="C22" s="38" t="s">
        <v>296</v>
      </c>
      <c r="D22" s="39">
        <v>3917</v>
      </c>
      <c r="E22" s="39">
        <v>87318</v>
      </c>
      <c r="F22" s="39">
        <v>180990</v>
      </c>
      <c r="G22" s="39">
        <v>133916</v>
      </c>
      <c r="H22" s="39">
        <v>25800</v>
      </c>
      <c r="I22" s="39">
        <v>432053</v>
      </c>
    </row>
    <row r="23" spans="1:9" ht="14.5" x14ac:dyDescent="0.35">
      <c r="A23" s="38" t="s">
        <v>322</v>
      </c>
      <c r="B23" s="38" t="s">
        <v>317</v>
      </c>
      <c r="C23" s="38" t="s">
        <v>296</v>
      </c>
      <c r="D23" s="39">
        <v>4552</v>
      </c>
      <c r="E23" s="39">
        <v>89812</v>
      </c>
      <c r="F23" s="39">
        <v>185066</v>
      </c>
      <c r="G23" s="39">
        <v>117214</v>
      </c>
      <c r="H23" s="39">
        <v>21228</v>
      </c>
      <c r="I23" s="39">
        <v>417981</v>
      </c>
    </row>
    <row r="24" spans="1:9" ht="14.5" x14ac:dyDescent="0.35">
      <c r="A24" s="38" t="s">
        <v>322</v>
      </c>
      <c r="B24" s="38" t="s">
        <v>318</v>
      </c>
      <c r="C24" s="38" t="s">
        <v>296</v>
      </c>
      <c r="D24" s="39">
        <v>5284</v>
      </c>
      <c r="E24" s="39">
        <v>90523</v>
      </c>
      <c r="F24" s="39">
        <v>201130</v>
      </c>
      <c r="G24" s="39">
        <v>104516</v>
      </c>
      <c r="H24" s="39">
        <v>15199</v>
      </c>
      <c r="I24" s="39">
        <v>416737</v>
      </c>
    </row>
    <row r="25" spans="1:9" ht="14.5" x14ac:dyDescent="0.35">
      <c r="A25" s="38" t="s">
        <v>322</v>
      </c>
      <c r="B25" s="38" t="s">
        <v>319</v>
      </c>
      <c r="C25" s="38" t="s">
        <v>296</v>
      </c>
      <c r="D25" s="39">
        <v>2445</v>
      </c>
      <c r="E25" s="39">
        <v>34281</v>
      </c>
      <c r="F25" s="39">
        <v>78901</v>
      </c>
      <c r="G25" s="39">
        <v>35760</v>
      </c>
      <c r="H25" s="39">
        <v>4043</v>
      </c>
      <c r="I25" s="39">
        <v>155460</v>
      </c>
    </row>
    <row r="26" spans="1:9" ht="14.5" x14ac:dyDescent="0.35">
      <c r="A26" s="38" t="s">
        <v>322</v>
      </c>
      <c r="B26" s="38" t="s">
        <v>320</v>
      </c>
      <c r="C26" s="38" t="s">
        <v>296</v>
      </c>
      <c r="D26" s="39">
        <v>1467</v>
      </c>
      <c r="E26" s="39">
        <v>19153</v>
      </c>
      <c r="F26" s="39">
        <v>44753</v>
      </c>
      <c r="G26" s="39">
        <v>18198</v>
      </c>
      <c r="H26" s="39">
        <v>1692</v>
      </c>
      <c r="I26" s="39">
        <v>85273</v>
      </c>
    </row>
    <row r="27" spans="1:9" ht="14.5" x14ac:dyDescent="0.35">
      <c r="A27" s="38" t="s">
        <v>322</v>
      </c>
      <c r="B27" s="38" t="s">
        <v>321</v>
      </c>
      <c r="C27" s="38" t="s">
        <v>296</v>
      </c>
      <c r="D27" s="39">
        <v>709</v>
      </c>
      <c r="E27" s="39">
        <v>7190</v>
      </c>
      <c r="F27" s="39">
        <v>16739</v>
      </c>
      <c r="G27" s="39">
        <v>6200</v>
      </c>
      <c r="H27" s="39">
        <v>513</v>
      </c>
      <c r="I27" s="39">
        <v>31355</v>
      </c>
    </row>
    <row r="28" spans="1:9" ht="14.5" x14ac:dyDescent="0.35">
      <c r="A28" s="38" t="s">
        <v>322</v>
      </c>
      <c r="B28" s="58" t="s">
        <v>1280</v>
      </c>
      <c r="C28" s="38" t="s">
        <v>296</v>
      </c>
      <c r="D28" s="39">
        <v>36970</v>
      </c>
      <c r="E28" s="39">
        <v>772042</v>
      </c>
      <c r="F28" s="39">
        <v>2025175</v>
      </c>
      <c r="G28" s="39">
        <v>1528543</v>
      </c>
      <c r="H28" s="39">
        <v>253846</v>
      </c>
      <c r="I28" s="39">
        <v>4618018</v>
      </c>
    </row>
    <row r="29" spans="1:9" ht="14.5" x14ac:dyDescent="0.35">
      <c r="A29" s="46" t="s">
        <v>323</v>
      </c>
      <c r="B29" s="60" t="s">
        <v>1291</v>
      </c>
      <c r="C29" s="46" t="s">
        <v>296</v>
      </c>
      <c r="D29" s="47">
        <v>86831</v>
      </c>
      <c r="E29" s="47">
        <v>1608414</v>
      </c>
      <c r="F29" s="47">
        <v>3789676</v>
      </c>
      <c r="G29" s="47">
        <v>3050990</v>
      </c>
      <c r="H29" s="47">
        <v>555221</v>
      </c>
      <c r="I29" s="47">
        <v>9094312</v>
      </c>
    </row>
    <row r="30" spans="1:9" ht="14.5" x14ac:dyDescent="0.35">
      <c r="A30" s="38" t="s">
        <v>309</v>
      </c>
      <c r="B30" s="38" t="s">
        <v>310</v>
      </c>
      <c r="C30" s="38" t="s">
        <v>306</v>
      </c>
      <c r="D30" s="40">
        <v>0.51229999999999998</v>
      </c>
      <c r="E30" s="40">
        <v>17.778500000000001</v>
      </c>
      <c r="F30" s="40">
        <v>43.367600000000003</v>
      </c>
      <c r="G30" s="40">
        <v>34.99</v>
      </c>
      <c r="H30" s="40">
        <v>3.3300999999999998</v>
      </c>
      <c r="I30" s="40">
        <v>100</v>
      </c>
    </row>
    <row r="31" spans="1:9" ht="14.5" x14ac:dyDescent="0.35">
      <c r="A31" s="38" t="s">
        <v>309</v>
      </c>
      <c r="B31" s="38" t="s">
        <v>311</v>
      </c>
      <c r="C31" s="38" t="s">
        <v>306</v>
      </c>
      <c r="D31" s="40">
        <v>0.41570000000000001</v>
      </c>
      <c r="E31" s="40">
        <v>10.646800000000001</v>
      </c>
      <c r="F31" s="40">
        <v>34.172899999999998</v>
      </c>
      <c r="G31" s="40">
        <v>47.001600000000003</v>
      </c>
      <c r="H31" s="40">
        <v>7.7370999999999999</v>
      </c>
      <c r="I31" s="40">
        <v>100</v>
      </c>
    </row>
    <row r="32" spans="1:9" ht="14.5" x14ac:dyDescent="0.35">
      <c r="A32" s="38" t="s">
        <v>309</v>
      </c>
      <c r="B32" s="38" t="s">
        <v>312</v>
      </c>
      <c r="C32" s="38" t="s">
        <v>306</v>
      </c>
      <c r="D32" s="40">
        <v>0.89429999999999998</v>
      </c>
      <c r="E32" s="40">
        <v>14.7287</v>
      </c>
      <c r="F32" s="40">
        <v>34.199300000000001</v>
      </c>
      <c r="G32" s="40">
        <v>41.059699999999999</v>
      </c>
      <c r="H32" s="40">
        <v>9.0722000000000005</v>
      </c>
      <c r="I32" s="40">
        <v>100</v>
      </c>
    </row>
    <row r="33" spans="1:9" ht="14.5" x14ac:dyDescent="0.35">
      <c r="A33" s="38" t="s">
        <v>309</v>
      </c>
      <c r="B33" s="38" t="s">
        <v>313</v>
      </c>
      <c r="C33" s="38" t="s">
        <v>306</v>
      </c>
      <c r="D33" s="40">
        <v>1.0498000000000001</v>
      </c>
      <c r="E33" s="40">
        <v>15.649900000000001</v>
      </c>
      <c r="F33" s="40">
        <v>36.627299999999998</v>
      </c>
      <c r="G33" s="40">
        <v>37.982300000000002</v>
      </c>
      <c r="H33" s="40">
        <v>8.6365999999999996</v>
      </c>
      <c r="I33" s="40">
        <v>100</v>
      </c>
    </row>
    <row r="34" spans="1:9" ht="14.5" x14ac:dyDescent="0.35">
      <c r="A34" s="38" t="s">
        <v>309</v>
      </c>
      <c r="B34" s="38" t="s">
        <v>314</v>
      </c>
      <c r="C34" s="38" t="s">
        <v>306</v>
      </c>
      <c r="D34" s="40">
        <v>1.1307</v>
      </c>
      <c r="E34" s="40">
        <v>17.8002</v>
      </c>
      <c r="F34" s="40">
        <v>37.475099999999998</v>
      </c>
      <c r="G34" s="40">
        <v>35.529000000000003</v>
      </c>
      <c r="H34" s="40">
        <v>8.0126000000000008</v>
      </c>
      <c r="I34" s="40">
        <v>100</v>
      </c>
    </row>
    <row r="35" spans="1:9" ht="14.5" x14ac:dyDescent="0.35">
      <c r="A35" s="38" t="s">
        <v>309</v>
      </c>
      <c r="B35" s="38" t="s">
        <v>315</v>
      </c>
      <c r="C35" s="38" t="s">
        <v>306</v>
      </c>
      <c r="D35" s="40">
        <v>1.2307999999999999</v>
      </c>
      <c r="E35" s="40">
        <v>20.479900000000001</v>
      </c>
      <c r="F35" s="40">
        <v>38.148600000000002</v>
      </c>
      <c r="G35" s="40">
        <v>32.464599999999997</v>
      </c>
      <c r="H35" s="40">
        <v>7.6215000000000002</v>
      </c>
      <c r="I35" s="40">
        <v>100</v>
      </c>
    </row>
    <row r="36" spans="1:9" ht="14.5" x14ac:dyDescent="0.35">
      <c r="A36" s="38" t="s">
        <v>309</v>
      </c>
      <c r="B36" s="38" t="s">
        <v>316</v>
      </c>
      <c r="C36" s="38" t="s">
        <v>306</v>
      </c>
      <c r="D36" s="40">
        <v>1.3918999999999999</v>
      </c>
      <c r="E36" s="40">
        <v>22.8081</v>
      </c>
      <c r="F36" s="40">
        <v>39.3324</v>
      </c>
      <c r="G36" s="40">
        <v>29.507100000000001</v>
      </c>
      <c r="H36" s="40">
        <v>6.9211999999999998</v>
      </c>
      <c r="I36" s="40">
        <v>100</v>
      </c>
    </row>
    <row r="37" spans="1:9" ht="14.5" x14ac:dyDescent="0.35">
      <c r="A37" s="38" t="s">
        <v>309</v>
      </c>
      <c r="B37" s="38" t="s">
        <v>317</v>
      </c>
      <c r="C37" s="38" t="s">
        <v>306</v>
      </c>
      <c r="D37" s="40">
        <v>1.5804</v>
      </c>
      <c r="E37" s="40">
        <v>24.044899999999998</v>
      </c>
      <c r="F37" s="40">
        <v>42.109099999999998</v>
      </c>
      <c r="G37" s="40">
        <v>26.389600000000002</v>
      </c>
      <c r="H37" s="40">
        <v>5.8417000000000003</v>
      </c>
      <c r="I37" s="40">
        <v>100</v>
      </c>
    </row>
    <row r="38" spans="1:9" ht="14.5" x14ac:dyDescent="0.35">
      <c r="A38" s="38" t="s">
        <v>309</v>
      </c>
      <c r="B38" s="38" t="s">
        <v>318</v>
      </c>
      <c r="C38" s="38" t="s">
        <v>306</v>
      </c>
      <c r="D38" s="40">
        <v>1.6327</v>
      </c>
      <c r="E38" s="40">
        <v>23.6585</v>
      </c>
      <c r="F38" s="40">
        <v>45.751100000000001</v>
      </c>
      <c r="G38" s="40">
        <v>24.300899999999999</v>
      </c>
      <c r="H38" s="40">
        <v>4.6300999999999997</v>
      </c>
      <c r="I38" s="40">
        <v>100</v>
      </c>
    </row>
    <row r="39" spans="1:9" ht="14.5" x14ac:dyDescent="0.35">
      <c r="A39" s="38" t="s">
        <v>309</v>
      </c>
      <c r="B39" s="38" t="s">
        <v>319</v>
      </c>
      <c r="C39" s="38" t="s">
        <v>306</v>
      </c>
      <c r="D39" s="40">
        <v>1.7050000000000001</v>
      </c>
      <c r="E39" s="40">
        <v>22.9711</v>
      </c>
      <c r="F39" s="40">
        <v>48.955599999999997</v>
      </c>
      <c r="G39" s="40">
        <v>22.7409</v>
      </c>
      <c r="H39" s="40">
        <v>3.605</v>
      </c>
      <c r="I39" s="40">
        <v>100</v>
      </c>
    </row>
    <row r="40" spans="1:9" ht="14.5" x14ac:dyDescent="0.35">
      <c r="A40" s="38" t="s">
        <v>309</v>
      </c>
      <c r="B40" s="38" t="s">
        <v>320</v>
      </c>
      <c r="C40" s="38" t="s">
        <v>306</v>
      </c>
      <c r="D40" s="40">
        <v>1.8301000000000001</v>
      </c>
      <c r="E40" s="40">
        <v>22.8826</v>
      </c>
      <c r="F40" s="40">
        <v>50.6783</v>
      </c>
      <c r="G40" s="40">
        <v>21.865500000000001</v>
      </c>
      <c r="H40" s="40">
        <v>2.7227999999999999</v>
      </c>
      <c r="I40" s="40">
        <v>100</v>
      </c>
    </row>
    <row r="41" spans="1:9" ht="14.5" x14ac:dyDescent="0.35">
      <c r="A41" s="38" t="s">
        <v>309</v>
      </c>
      <c r="B41" s="38" t="s">
        <v>321</v>
      </c>
      <c r="C41" s="38" t="s">
        <v>306</v>
      </c>
      <c r="D41" s="40">
        <v>2.2385000000000002</v>
      </c>
      <c r="E41" s="40">
        <v>22.971499999999999</v>
      </c>
      <c r="F41" s="40">
        <v>51.660600000000002</v>
      </c>
      <c r="G41" s="40">
        <v>20.778099999999998</v>
      </c>
      <c r="H41" s="40">
        <v>2.34</v>
      </c>
      <c r="I41" s="40">
        <v>100</v>
      </c>
    </row>
    <row r="42" spans="1:9" ht="14.5" x14ac:dyDescent="0.35">
      <c r="A42" s="38" t="s">
        <v>309</v>
      </c>
      <c r="B42" s="58" t="s">
        <v>1280</v>
      </c>
      <c r="C42" s="38" t="s">
        <v>306</v>
      </c>
      <c r="D42" s="40">
        <v>1.1134999999999999</v>
      </c>
      <c r="E42" s="40">
        <v>18.685300000000002</v>
      </c>
      <c r="F42" s="40">
        <v>39.414099999999998</v>
      </c>
      <c r="G42" s="40">
        <v>34.014600000000002</v>
      </c>
      <c r="H42" s="40">
        <v>6.7336999999999998</v>
      </c>
      <c r="I42" s="40">
        <v>100</v>
      </c>
    </row>
    <row r="43" spans="1:9" ht="14.5" x14ac:dyDescent="0.35">
      <c r="A43" s="38" t="s">
        <v>322</v>
      </c>
      <c r="B43" s="38" t="s">
        <v>310</v>
      </c>
      <c r="C43" s="38" t="s">
        <v>306</v>
      </c>
      <c r="D43" s="40">
        <v>0.47020000000000001</v>
      </c>
      <c r="E43" s="40">
        <v>15.912100000000001</v>
      </c>
      <c r="F43" s="40">
        <v>43.270299999999999</v>
      </c>
      <c r="G43" s="40">
        <v>36.7682</v>
      </c>
      <c r="H43" s="40">
        <v>3.5577999999999999</v>
      </c>
      <c r="I43" s="40">
        <v>100</v>
      </c>
    </row>
    <row r="44" spans="1:9" ht="14.5" x14ac:dyDescent="0.35">
      <c r="A44" s="38" t="s">
        <v>322</v>
      </c>
      <c r="B44" s="38" t="s">
        <v>311</v>
      </c>
      <c r="C44" s="38" t="s">
        <v>306</v>
      </c>
      <c r="D44" s="40">
        <v>0.32329999999999998</v>
      </c>
      <c r="E44" s="40">
        <v>8.5673999999999992</v>
      </c>
      <c r="F44" s="40">
        <v>35.316299999999998</v>
      </c>
      <c r="G44" s="40">
        <v>47.823799999999999</v>
      </c>
      <c r="H44" s="40">
        <v>7.9436999999999998</v>
      </c>
      <c r="I44" s="40">
        <v>100</v>
      </c>
    </row>
    <row r="45" spans="1:9" ht="14.5" x14ac:dyDescent="0.35">
      <c r="A45" s="38" t="s">
        <v>322</v>
      </c>
      <c r="B45" s="38" t="s">
        <v>312</v>
      </c>
      <c r="C45" s="38" t="s">
        <v>306</v>
      </c>
      <c r="D45" s="40">
        <v>0.61180000000000001</v>
      </c>
      <c r="E45" s="40">
        <v>13.283200000000001</v>
      </c>
      <c r="F45" s="40">
        <v>43.139400000000002</v>
      </c>
      <c r="G45" s="40">
        <v>36.450899999999997</v>
      </c>
      <c r="H45" s="40">
        <v>6.4756</v>
      </c>
      <c r="I45" s="40">
        <v>100</v>
      </c>
    </row>
    <row r="46" spans="1:9" ht="14.5" x14ac:dyDescent="0.35">
      <c r="A46" s="38" t="s">
        <v>322</v>
      </c>
      <c r="B46" s="38" t="s">
        <v>313</v>
      </c>
      <c r="C46" s="38" t="s">
        <v>306</v>
      </c>
      <c r="D46" s="40">
        <v>0.62280000000000002</v>
      </c>
      <c r="E46" s="40">
        <v>13.7287</v>
      </c>
      <c r="F46" s="40">
        <v>45.585900000000002</v>
      </c>
      <c r="G46" s="40">
        <v>34.069499999999998</v>
      </c>
      <c r="H46" s="40">
        <v>5.9509999999999996</v>
      </c>
      <c r="I46" s="40">
        <v>100</v>
      </c>
    </row>
    <row r="47" spans="1:9" ht="14.5" x14ac:dyDescent="0.35">
      <c r="A47" s="38" t="s">
        <v>322</v>
      </c>
      <c r="B47" s="38" t="s">
        <v>314</v>
      </c>
      <c r="C47" s="38" t="s">
        <v>306</v>
      </c>
      <c r="D47" s="40">
        <v>0.6784</v>
      </c>
      <c r="E47" s="40">
        <v>15.788</v>
      </c>
      <c r="F47" s="40">
        <v>44.188200000000002</v>
      </c>
      <c r="G47" s="40">
        <v>33.313699999999997</v>
      </c>
      <c r="H47" s="40">
        <v>5.9882</v>
      </c>
      <c r="I47" s="40">
        <v>100</v>
      </c>
    </row>
    <row r="48" spans="1:9" ht="14.5" x14ac:dyDescent="0.35">
      <c r="A48" s="38" t="s">
        <v>322</v>
      </c>
      <c r="B48" s="38" t="s">
        <v>315</v>
      </c>
      <c r="C48" s="38" t="s">
        <v>306</v>
      </c>
      <c r="D48" s="40">
        <v>0.81169999999999998</v>
      </c>
      <c r="E48" s="40">
        <v>18.743500000000001</v>
      </c>
      <c r="F48" s="40">
        <v>42.1601</v>
      </c>
      <c r="G48" s="40">
        <v>32.155500000000004</v>
      </c>
      <c r="H48" s="40">
        <v>6.0979999999999999</v>
      </c>
      <c r="I48" s="40">
        <v>100</v>
      </c>
    </row>
    <row r="49" spans="1:9" ht="14.5" x14ac:dyDescent="0.35">
      <c r="A49" s="38" t="s">
        <v>322</v>
      </c>
      <c r="B49" s="38" t="s">
        <v>316</v>
      </c>
      <c r="C49" s="38" t="s">
        <v>306</v>
      </c>
      <c r="D49" s="40">
        <v>0.90659999999999996</v>
      </c>
      <c r="E49" s="40">
        <v>20.21</v>
      </c>
      <c r="F49" s="40">
        <v>41.890700000000002</v>
      </c>
      <c r="G49" s="40">
        <v>30.9953</v>
      </c>
      <c r="H49" s="40">
        <v>5.9714999999999998</v>
      </c>
      <c r="I49" s="40">
        <v>100</v>
      </c>
    </row>
    <row r="50" spans="1:9" ht="14.5" x14ac:dyDescent="0.35">
      <c r="A50" s="38" t="s">
        <v>322</v>
      </c>
      <c r="B50" s="38" t="s">
        <v>317</v>
      </c>
      <c r="C50" s="38" t="s">
        <v>306</v>
      </c>
      <c r="D50" s="40">
        <v>1.089</v>
      </c>
      <c r="E50" s="40">
        <v>21.487100000000002</v>
      </c>
      <c r="F50" s="40">
        <v>44.276200000000003</v>
      </c>
      <c r="G50" s="40">
        <v>28.042899999999999</v>
      </c>
      <c r="H50" s="40">
        <v>5.0787000000000004</v>
      </c>
      <c r="I50" s="40">
        <v>100</v>
      </c>
    </row>
    <row r="51" spans="1:9" ht="14.5" x14ac:dyDescent="0.35">
      <c r="A51" s="38" t="s">
        <v>322</v>
      </c>
      <c r="B51" s="38" t="s">
        <v>318</v>
      </c>
      <c r="C51" s="38" t="s">
        <v>306</v>
      </c>
      <c r="D51" s="40">
        <v>1.2679</v>
      </c>
      <c r="E51" s="40">
        <v>21.721900000000002</v>
      </c>
      <c r="F51" s="40">
        <v>48.263100000000001</v>
      </c>
      <c r="G51" s="40">
        <v>25.079599999999999</v>
      </c>
      <c r="H51" s="40">
        <v>3.6471</v>
      </c>
      <c r="I51" s="40">
        <v>100</v>
      </c>
    </row>
    <row r="52" spans="1:9" ht="14.5" x14ac:dyDescent="0.35">
      <c r="A52" s="38" t="s">
        <v>322</v>
      </c>
      <c r="B52" s="38" t="s">
        <v>319</v>
      </c>
      <c r="C52" s="38" t="s">
        <v>306</v>
      </c>
      <c r="D52" s="40">
        <v>1.5728</v>
      </c>
      <c r="E52" s="40">
        <v>22.051300000000001</v>
      </c>
      <c r="F52" s="40">
        <v>50.7532</v>
      </c>
      <c r="G52" s="40">
        <v>23.002700000000001</v>
      </c>
      <c r="H52" s="40">
        <v>2.6006999999999998</v>
      </c>
      <c r="I52" s="40">
        <v>100</v>
      </c>
    </row>
    <row r="53" spans="1:9" ht="14.5" x14ac:dyDescent="0.35">
      <c r="A53" s="38" t="s">
        <v>322</v>
      </c>
      <c r="B53" s="38" t="s">
        <v>320</v>
      </c>
      <c r="C53" s="38" t="s">
        <v>306</v>
      </c>
      <c r="D53" s="40">
        <v>1.7203999999999999</v>
      </c>
      <c r="E53" s="40">
        <v>22.460799999999999</v>
      </c>
      <c r="F53" s="40">
        <v>52.481999999999999</v>
      </c>
      <c r="G53" s="40">
        <v>21.340900000000001</v>
      </c>
      <c r="H53" s="40">
        <v>1.9842</v>
      </c>
      <c r="I53" s="40">
        <v>100</v>
      </c>
    </row>
    <row r="54" spans="1:9" ht="14.5" x14ac:dyDescent="0.35">
      <c r="A54" s="38" t="s">
        <v>322</v>
      </c>
      <c r="B54" s="38" t="s">
        <v>321</v>
      </c>
      <c r="C54" s="38" t="s">
        <v>306</v>
      </c>
      <c r="D54" s="40">
        <v>2.2612000000000001</v>
      </c>
      <c r="E54" s="40">
        <v>22.931000000000001</v>
      </c>
      <c r="F54" s="40">
        <v>53.385399999999997</v>
      </c>
      <c r="G54" s="40">
        <v>19.773599999999998</v>
      </c>
      <c r="H54" s="40">
        <v>1.6361000000000001</v>
      </c>
      <c r="I54" s="40">
        <v>100</v>
      </c>
    </row>
    <row r="55" spans="1:9" ht="14.5" x14ac:dyDescent="0.35">
      <c r="A55" s="38" t="s">
        <v>322</v>
      </c>
      <c r="B55" s="58" t="s">
        <v>1280</v>
      </c>
      <c r="C55" s="38" t="s">
        <v>306</v>
      </c>
      <c r="D55" s="40">
        <v>0.80059999999999998</v>
      </c>
      <c r="E55" s="40">
        <v>16.718</v>
      </c>
      <c r="F55" s="40">
        <v>43.8538</v>
      </c>
      <c r="G55" s="40">
        <v>33.099499999999999</v>
      </c>
      <c r="H55" s="40">
        <v>5.4969000000000001</v>
      </c>
      <c r="I55" s="40">
        <v>100</v>
      </c>
    </row>
    <row r="56" spans="1:9" ht="14.5" x14ac:dyDescent="0.35">
      <c r="A56" s="41" t="s">
        <v>323</v>
      </c>
      <c r="B56" s="54" t="s">
        <v>1291</v>
      </c>
      <c r="C56" s="41" t="s">
        <v>306</v>
      </c>
      <c r="D56" s="43">
        <v>0.95479999999999998</v>
      </c>
      <c r="E56" s="43">
        <v>17.6859</v>
      </c>
      <c r="F56" s="43">
        <v>41.6708</v>
      </c>
      <c r="G56" s="43">
        <v>33.548299999999998</v>
      </c>
      <c r="H56" s="43">
        <v>6.1051000000000002</v>
      </c>
      <c r="I56" s="43">
        <v>100</v>
      </c>
    </row>
    <row r="57" spans="1:9" ht="14.5" x14ac:dyDescent="0.35">
      <c r="A57" s="98" t="s">
        <v>372</v>
      </c>
      <c r="B57" s="99"/>
      <c r="C57" s="99"/>
      <c r="D57" s="99"/>
      <c r="E57" s="99"/>
      <c r="F57" s="99"/>
      <c r="G57" s="99"/>
      <c r="H57" s="99"/>
      <c r="I57" s="99"/>
    </row>
    <row r="58" spans="1:9" ht="14.5" x14ac:dyDescent="0.35">
      <c r="A58" s="98" t="s">
        <v>373</v>
      </c>
      <c r="B58" s="99"/>
      <c r="C58" s="99"/>
      <c r="D58" s="99"/>
      <c r="E58" s="99"/>
      <c r="F58" s="99"/>
      <c r="G58" s="99"/>
      <c r="H58" s="99"/>
      <c r="I58" s="99"/>
    </row>
    <row r="59" spans="1:9" ht="14.5" x14ac:dyDescent="0.35">
      <c r="A59" s="98" t="s">
        <v>326</v>
      </c>
      <c r="B59" s="99"/>
      <c r="C59" s="99"/>
      <c r="D59" s="99"/>
      <c r="E59" s="99"/>
      <c r="F59" s="99"/>
      <c r="G59" s="99"/>
      <c r="H59" s="99"/>
      <c r="I59" s="99"/>
    </row>
    <row r="60" spans="1:9" ht="14.5" x14ac:dyDescent="0.35">
      <c r="A60" s="44"/>
      <c r="B60" s="35"/>
      <c r="C60" s="35"/>
      <c r="D60" s="35"/>
      <c r="E60" s="35"/>
      <c r="F60" s="35"/>
      <c r="G60" s="35"/>
      <c r="H60" s="35"/>
      <c r="I60" s="35"/>
    </row>
    <row r="61" spans="1:9" ht="14.5" x14ac:dyDescent="0.35">
      <c r="A61" s="35" t="s">
        <v>290</v>
      </c>
      <c r="B61" s="35"/>
      <c r="C61" s="35"/>
      <c r="D61" s="35"/>
      <c r="E61" s="35"/>
      <c r="F61" s="35"/>
      <c r="G61" s="35"/>
      <c r="H61" s="35"/>
      <c r="I61" s="35"/>
    </row>
    <row r="62" spans="1:9" ht="14.5" x14ac:dyDescent="0.35">
      <c r="A62" s="45" t="s">
        <v>291</v>
      </c>
      <c r="B62" s="35"/>
      <c r="C62" s="35"/>
      <c r="D62" s="35"/>
      <c r="E62" s="35"/>
      <c r="F62" s="35"/>
      <c r="G62" s="35"/>
      <c r="H62" s="35"/>
      <c r="I62" s="35"/>
    </row>
    <row r="63" spans="1:9" ht="14.5" x14ac:dyDescent="0.35">
      <c r="A63" s="35"/>
      <c r="B63" s="35"/>
      <c r="C63" s="35"/>
      <c r="D63" s="35"/>
      <c r="E63" s="35"/>
      <c r="F63" s="35"/>
      <c r="G63" s="35"/>
      <c r="H63" s="35"/>
      <c r="I63" s="35"/>
    </row>
    <row r="64" spans="1:9" ht="14.5" x14ac:dyDescent="0.35">
      <c r="A64" s="45" t="s">
        <v>3</v>
      </c>
      <c r="B64" s="35"/>
      <c r="C64" s="35"/>
      <c r="D64" s="35"/>
      <c r="E64" s="35"/>
      <c r="F64" s="35"/>
      <c r="G64" s="35"/>
      <c r="H64" s="35"/>
      <c r="I64" s="35"/>
    </row>
    <row r="65" spans="1:9" ht="14.5" x14ac:dyDescent="0.35">
      <c r="A65" s="35"/>
      <c r="B65" s="35"/>
      <c r="C65" s="35"/>
      <c r="D65" s="35"/>
      <c r="E65" s="35"/>
      <c r="F65" s="35"/>
      <c r="G65" s="35"/>
      <c r="H65" s="35"/>
      <c r="I65" s="35"/>
    </row>
    <row r="66" spans="1:9" ht="14.5" x14ac:dyDescent="0.35">
      <c r="A66" s="45" t="s">
        <v>292</v>
      </c>
      <c r="B66" s="35"/>
      <c r="C66" s="35"/>
      <c r="D66" s="35"/>
      <c r="E66" s="35"/>
      <c r="F66" s="35"/>
      <c r="G66" s="35"/>
      <c r="H66" s="35"/>
      <c r="I66" s="35"/>
    </row>
  </sheetData>
  <mergeCells count="4">
    <mergeCell ref="A1:I1"/>
    <mergeCell ref="A59:I59"/>
    <mergeCell ref="A57:I57"/>
    <mergeCell ref="A58:I58"/>
  </mergeCells>
  <hyperlinks>
    <hyperlink ref="A62" r:id="rId1" xr:uid="{00000000-0004-0000-0B00-000000000000}"/>
    <hyperlink ref="A64" location="'Technical specifications'!A1" display="Technical specifications" xr:uid="{00000000-0004-0000-0B00-000001000000}"/>
    <hyperlink ref="A66" location="Contents!A1" display="Back to contents" xr:uid="{00000000-0004-0000-0B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J49"/>
  <sheetViews>
    <sheetView workbookViewId="0">
      <selection sqref="A1:J1"/>
    </sheetView>
  </sheetViews>
  <sheetFormatPr defaultRowHeight="14.75" customHeight="1" x14ac:dyDescent="0.35"/>
  <cols>
    <col min="1" max="1" width="20" customWidth="1"/>
    <col min="2" max="2" width="22" customWidth="1"/>
    <col min="3" max="10" width="11" customWidth="1"/>
  </cols>
  <sheetData>
    <row r="1" spans="1:10" ht="33.75" customHeight="1" x14ac:dyDescent="0.35">
      <c r="A1" s="101" t="s">
        <v>1292</v>
      </c>
      <c r="B1" s="97"/>
      <c r="C1" s="97"/>
      <c r="D1" s="97"/>
      <c r="E1" s="97"/>
      <c r="F1" s="97"/>
      <c r="G1" s="97"/>
      <c r="H1" s="97"/>
      <c r="I1" s="97"/>
      <c r="J1" s="97"/>
    </row>
    <row r="2" spans="1:10" ht="14.5" x14ac:dyDescent="0.35">
      <c r="A2" s="36" t="s">
        <v>374</v>
      </c>
      <c r="B2" s="36" t="s">
        <v>294</v>
      </c>
      <c r="C2" s="37" t="s">
        <v>375</v>
      </c>
      <c r="D2" s="37" t="s">
        <v>376</v>
      </c>
      <c r="E2" s="37" t="s">
        <v>377</v>
      </c>
      <c r="F2" s="37" t="s">
        <v>378</v>
      </c>
      <c r="G2" s="37" t="s">
        <v>379</v>
      </c>
      <c r="H2" s="37" t="s">
        <v>380</v>
      </c>
      <c r="I2" s="37" t="s">
        <v>381</v>
      </c>
      <c r="J2" s="37" t="s">
        <v>304</v>
      </c>
    </row>
    <row r="3" spans="1:10" ht="14.5" x14ac:dyDescent="0.35">
      <c r="A3" s="38" t="s">
        <v>382</v>
      </c>
      <c r="B3" s="38" t="s">
        <v>296</v>
      </c>
      <c r="C3" s="39">
        <v>60692</v>
      </c>
      <c r="D3" s="39">
        <v>53162</v>
      </c>
      <c r="E3" s="39">
        <v>49814</v>
      </c>
      <c r="F3" s="39">
        <v>49594</v>
      </c>
      <c r="G3" s="39">
        <v>49846</v>
      </c>
      <c r="H3" s="39">
        <v>50578</v>
      </c>
      <c r="I3" s="39">
        <v>55856</v>
      </c>
      <c r="J3" s="39">
        <v>369542</v>
      </c>
    </row>
    <row r="4" spans="1:10" ht="14.5" x14ac:dyDescent="0.35">
      <c r="A4" s="38" t="s">
        <v>383</v>
      </c>
      <c r="B4" s="38" t="s">
        <v>296</v>
      </c>
      <c r="C4" s="39">
        <v>45336</v>
      </c>
      <c r="D4" s="39">
        <v>39957</v>
      </c>
      <c r="E4" s="39">
        <v>36973</v>
      </c>
      <c r="F4" s="39">
        <v>37584</v>
      </c>
      <c r="G4" s="39">
        <v>37257</v>
      </c>
      <c r="H4" s="39">
        <v>37790</v>
      </c>
      <c r="I4" s="39">
        <v>41850</v>
      </c>
      <c r="J4" s="39">
        <v>276747</v>
      </c>
    </row>
    <row r="5" spans="1:10" ht="14.5" x14ac:dyDescent="0.35">
      <c r="A5" s="38" t="s">
        <v>384</v>
      </c>
      <c r="B5" s="38" t="s">
        <v>296</v>
      </c>
      <c r="C5" s="39">
        <v>38967</v>
      </c>
      <c r="D5" s="39">
        <v>36617</v>
      </c>
      <c r="E5" s="39">
        <v>34222</v>
      </c>
      <c r="F5" s="39">
        <v>33796</v>
      </c>
      <c r="G5" s="39">
        <v>33830</v>
      </c>
      <c r="H5" s="39">
        <v>33950</v>
      </c>
      <c r="I5" s="39">
        <v>36370</v>
      </c>
      <c r="J5" s="39">
        <v>247752</v>
      </c>
    </row>
    <row r="6" spans="1:10" ht="14.5" x14ac:dyDescent="0.35">
      <c r="A6" s="38" t="s">
        <v>385</v>
      </c>
      <c r="B6" s="38" t="s">
        <v>296</v>
      </c>
      <c r="C6" s="39">
        <v>58643</v>
      </c>
      <c r="D6" s="39">
        <v>63625</v>
      </c>
      <c r="E6" s="39">
        <v>57812</v>
      </c>
      <c r="F6" s="39">
        <v>56066</v>
      </c>
      <c r="G6" s="39">
        <v>56032</v>
      </c>
      <c r="H6" s="39">
        <v>55775</v>
      </c>
      <c r="I6" s="39">
        <v>55862</v>
      </c>
      <c r="J6" s="39">
        <v>403815</v>
      </c>
    </row>
    <row r="7" spans="1:10" ht="14.5" x14ac:dyDescent="0.35">
      <c r="A7" s="38" t="s">
        <v>386</v>
      </c>
      <c r="B7" s="38" t="s">
        <v>296</v>
      </c>
      <c r="C7" s="39">
        <v>124259</v>
      </c>
      <c r="D7" s="39">
        <v>146969</v>
      </c>
      <c r="E7" s="39">
        <v>130437</v>
      </c>
      <c r="F7" s="39">
        <v>125745</v>
      </c>
      <c r="G7" s="39">
        <v>124618</v>
      </c>
      <c r="H7" s="39">
        <v>124407</v>
      </c>
      <c r="I7" s="39">
        <v>115296</v>
      </c>
      <c r="J7" s="39">
        <v>891731</v>
      </c>
    </row>
    <row r="8" spans="1:10" ht="14.5" x14ac:dyDescent="0.35">
      <c r="A8" s="38" t="s">
        <v>387</v>
      </c>
      <c r="B8" s="38" t="s">
        <v>296</v>
      </c>
      <c r="C8" s="39">
        <v>164128</v>
      </c>
      <c r="D8" s="39">
        <v>191741</v>
      </c>
      <c r="E8" s="39">
        <v>170923</v>
      </c>
      <c r="F8" s="39">
        <v>164391</v>
      </c>
      <c r="G8" s="39">
        <v>164787</v>
      </c>
      <c r="H8" s="39">
        <v>164551</v>
      </c>
      <c r="I8" s="39">
        <v>154623</v>
      </c>
      <c r="J8" s="39">
        <v>1175144</v>
      </c>
    </row>
    <row r="9" spans="1:10" ht="14.5" x14ac:dyDescent="0.35">
      <c r="A9" s="38" t="s">
        <v>388</v>
      </c>
      <c r="B9" s="38" t="s">
        <v>296</v>
      </c>
      <c r="C9" s="39">
        <v>158828</v>
      </c>
      <c r="D9" s="39">
        <v>182189</v>
      </c>
      <c r="E9" s="39">
        <v>165096</v>
      </c>
      <c r="F9" s="39">
        <v>160714</v>
      </c>
      <c r="G9" s="39">
        <v>161775</v>
      </c>
      <c r="H9" s="39">
        <v>162938</v>
      </c>
      <c r="I9" s="39">
        <v>154734</v>
      </c>
      <c r="J9" s="39">
        <v>1146274</v>
      </c>
    </row>
    <row r="10" spans="1:10" ht="14.5" x14ac:dyDescent="0.35">
      <c r="A10" s="38" t="s">
        <v>389</v>
      </c>
      <c r="B10" s="38" t="s">
        <v>296</v>
      </c>
      <c r="C10" s="39">
        <v>154057</v>
      </c>
      <c r="D10" s="39">
        <v>171667</v>
      </c>
      <c r="E10" s="39">
        <v>158946</v>
      </c>
      <c r="F10" s="39">
        <v>155087</v>
      </c>
      <c r="G10" s="39">
        <v>155086</v>
      </c>
      <c r="H10" s="39">
        <v>156737</v>
      </c>
      <c r="I10" s="39">
        <v>152461</v>
      </c>
      <c r="J10" s="39">
        <v>1104041</v>
      </c>
    </row>
    <row r="11" spans="1:10" ht="14.5" x14ac:dyDescent="0.35">
      <c r="A11" s="38" t="s">
        <v>390</v>
      </c>
      <c r="B11" s="38" t="s">
        <v>296</v>
      </c>
      <c r="C11" s="39">
        <v>144766</v>
      </c>
      <c r="D11" s="39">
        <v>165415</v>
      </c>
      <c r="E11" s="39">
        <v>155206</v>
      </c>
      <c r="F11" s="39">
        <v>152132</v>
      </c>
      <c r="G11" s="39">
        <v>151556</v>
      </c>
      <c r="H11" s="39">
        <v>152215</v>
      </c>
      <c r="I11" s="39">
        <v>140716</v>
      </c>
      <c r="J11" s="39">
        <v>1062006</v>
      </c>
    </row>
    <row r="12" spans="1:10" ht="14.5" x14ac:dyDescent="0.35">
      <c r="A12" s="38" t="s">
        <v>391</v>
      </c>
      <c r="B12" s="38" t="s">
        <v>296</v>
      </c>
      <c r="C12" s="39">
        <v>139226</v>
      </c>
      <c r="D12" s="39">
        <v>152884</v>
      </c>
      <c r="E12" s="39">
        <v>146505</v>
      </c>
      <c r="F12" s="39">
        <v>144195</v>
      </c>
      <c r="G12" s="39">
        <v>142238</v>
      </c>
      <c r="H12" s="39">
        <v>137685</v>
      </c>
      <c r="I12" s="39">
        <v>131491</v>
      </c>
      <c r="J12" s="39">
        <v>994224</v>
      </c>
    </row>
    <row r="13" spans="1:10" ht="14.5" x14ac:dyDescent="0.35">
      <c r="A13" s="38" t="s">
        <v>392</v>
      </c>
      <c r="B13" s="38" t="s">
        <v>296</v>
      </c>
      <c r="C13" s="39">
        <v>121044</v>
      </c>
      <c r="D13" s="39">
        <v>125664</v>
      </c>
      <c r="E13" s="39">
        <v>122597</v>
      </c>
      <c r="F13" s="39">
        <v>120788</v>
      </c>
      <c r="G13" s="39">
        <v>120658</v>
      </c>
      <c r="H13" s="39">
        <v>117171</v>
      </c>
      <c r="I13" s="39">
        <v>116440</v>
      </c>
      <c r="J13" s="39">
        <v>844362</v>
      </c>
    </row>
    <row r="14" spans="1:10" ht="14.5" x14ac:dyDescent="0.35">
      <c r="A14" s="38" t="s">
        <v>393</v>
      </c>
      <c r="B14" s="38" t="s">
        <v>296</v>
      </c>
      <c r="C14" s="39">
        <v>83971</v>
      </c>
      <c r="D14" s="39">
        <v>81166</v>
      </c>
      <c r="E14" s="39">
        <v>80300</v>
      </c>
      <c r="F14" s="39">
        <v>80332</v>
      </c>
      <c r="G14" s="39">
        <v>80821</v>
      </c>
      <c r="H14" s="39">
        <v>84425</v>
      </c>
      <c r="I14" s="39">
        <v>87659</v>
      </c>
      <c r="J14" s="39">
        <v>578674</v>
      </c>
    </row>
    <row r="15" spans="1:10" ht="14.5" x14ac:dyDescent="0.35">
      <c r="A15" s="46" t="s">
        <v>304</v>
      </c>
      <c r="B15" s="46" t="s">
        <v>296</v>
      </c>
      <c r="C15" s="47">
        <v>1293917</v>
      </c>
      <c r="D15" s="47">
        <v>1411056</v>
      </c>
      <c r="E15" s="47">
        <v>1308831</v>
      </c>
      <c r="F15" s="47">
        <v>1280424</v>
      </c>
      <c r="G15" s="47">
        <v>1278504</v>
      </c>
      <c r="H15" s="47">
        <v>1278222</v>
      </c>
      <c r="I15" s="47">
        <v>1243358</v>
      </c>
      <c r="J15" s="47">
        <v>9094312</v>
      </c>
    </row>
    <row r="16" spans="1:10" ht="14.5" x14ac:dyDescent="0.35">
      <c r="A16" s="38" t="s">
        <v>382</v>
      </c>
      <c r="B16" s="38" t="s">
        <v>394</v>
      </c>
      <c r="C16" s="40">
        <v>4.6905999999999999</v>
      </c>
      <c r="D16" s="40">
        <v>3.7675000000000001</v>
      </c>
      <c r="E16" s="40">
        <v>3.806</v>
      </c>
      <c r="F16" s="40">
        <v>3.8732000000000002</v>
      </c>
      <c r="G16" s="40">
        <v>3.8988</v>
      </c>
      <c r="H16" s="40">
        <v>3.9569000000000001</v>
      </c>
      <c r="I16" s="40">
        <v>4.4923999999999999</v>
      </c>
      <c r="J16" s="40">
        <v>4.0633999999999997</v>
      </c>
    </row>
    <row r="17" spans="1:10" ht="14.5" x14ac:dyDescent="0.35">
      <c r="A17" s="38" t="s">
        <v>383</v>
      </c>
      <c r="B17" s="38" t="s">
        <v>394</v>
      </c>
      <c r="C17" s="40">
        <v>3.5038</v>
      </c>
      <c r="D17" s="40">
        <v>2.8317000000000001</v>
      </c>
      <c r="E17" s="40">
        <v>2.8249</v>
      </c>
      <c r="F17" s="40">
        <v>2.9352999999999998</v>
      </c>
      <c r="G17" s="40">
        <v>2.9140999999999999</v>
      </c>
      <c r="H17" s="40">
        <v>2.9565000000000001</v>
      </c>
      <c r="I17" s="40">
        <v>3.3658999999999999</v>
      </c>
      <c r="J17" s="40">
        <v>3.0430999999999999</v>
      </c>
    </row>
    <row r="18" spans="1:10" ht="14.5" x14ac:dyDescent="0.35">
      <c r="A18" s="38" t="s">
        <v>384</v>
      </c>
      <c r="B18" s="38" t="s">
        <v>394</v>
      </c>
      <c r="C18" s="40">
        <v>3.0116000000000001</v>
      </c>
      <c r="D18" s="40">
        <v>2.5950000000000002</v>
      </c>
      <c r="E18" s="40">
        <v>2.6147</v>
      </c>
      <c r="F18" s="40">
        <v>2.6394000000000002</v>
      </c>
      <c r="G18" s="40">
        <v>2.6461000000000001</v>
      </c>
      <c r="H18" s="40">
        <v>2.6560000000000001</v>
      </c>
      <c r="I18" s="40">
        <v>2.9251</v>
      </c>
      <c r="J18" s="40">
        <v>2.7242999999999999</v>
      </c>
    </row>
    <row r="19" spans="1:10" ht="14.5" x14ac:dyDescent="0.35">
      <c r="A19" s="38" t="s">
        <v>385</v>
      </c>
      <c r="B19" s="38" t="s">
        <v>394</v>
      </c>
      <c r="C19" s="40">
        <v>4.5321999999999996</v>
      </c>
      <c r="D19" s="40">
        <v>4.5090000000000003</v>
      </c>
      <c r="E19" s="40">
        <v>4.4170999999999996</v>
      </c>
      <c r="F19" s="40">
        <v>4.3787000000000003</v>
      </c>
      <c r="G19" s="40">
        <v>4.3826000000000001</v>
      </c>
      <c r="H19" s="40">
        <v>4.3635000000000002</v>
      </c>
      <c r="I19" s="40">
        <v>4.4927999999999999</v>
      </c>
      <c r="J19" s="40">
        <v>4.4402999999999997</v>
      </c>
    </row>
    <row r="20" spans="1:10" ht="14.5" x14ac:dyDescent="0.35">
      <c r="A20" s="38" t="s">
        <v>386</v>
      </c>
      <c r="B20" s="38" t="s">
        <v>394</v>
      </c>
      <c r="C20" s="40">
        <v>9.6033000000000008</v>
      </c>
      <c r="D20" s="40">
        <v>10.4155</v>
      </c>
      <c r="E20" s="40">
        <v>9.9658999999999995</v>
      </c>
      <c r="F20" s="40">
        <v>9.8206000000000007</v>
      </c>
      <c r="G20" s="40">
        <v>9.7471999999999994</v>
      </c>
      <c r="H20" s="40">
        <v>9.7327999999999992</v>
      </c>
      <c r="I20" s="40">
        <v>9.2729999999999997</v>
      </c>
      <c r="J20" s="40">
        <v>9.8054000000000006</v>
      </c>
    </row>
    <row r="21" spans="1:10" ht="14.5" x14ac:dyDescent="0.35">
      <c r="A21" s="38" t="s">
        <v>387</v>
      </c>
      <c r="B21" s="38" t="s">
        <v>394</v>
      </c>
      <c r="C21" s="40">
        <v>12.6846</v>
      </c>
      <c r="D21" s="40">
        <v>13.5885</v>
      </c>
      <c r="E21" s="40">
        <v>13.059200000000001</v>
      </c>
      <c r="F21" s="40">
        <v>12.838800000000001</v>
      </c>
      <c r="G21" s="40">
        <v>12.888999999999999</v>
      </c>
      <c r="H21" s="40">
        <v>12.8734</v>
      </c>
      <c r="I21" s="40">
        <v>12.4359</v>
      </c>
      <c r="J21" s="40">
        <v>12.9217</v>
      </c>
    </row>
    <row r="22" spans="1:10" ht="14.5" x14ac:dyDescent="0.35">
      <c r="A22" s="38" t="s">
        <v>388</v>
      </c>
      <c r="B22" s="38" t="s">
        <v>394</v>
      </c>
      <c r="C22" s="40">
        <v>12.275</v>
      </c>
      <c r="D22" s="40">
        <v>12.9115</v>
      </c>
      <c r="E22" s="40">
        <v>12.614000000000001</v>
      </c>
      <c r="F22" s="40">
        <v>12.551600000000001</v>
      </c>
      <c r="G22" s="40">
        <v>12.653499999999999</v>
      </c>
      <c r="H22" s="40">
        <v>12.747199999999999</v>
      </c>
      <c r="I22" s="40">
        <v>12.444800000000001</v>
      </c>
      <c r="J22" s="40">
        <v>12.6043</v>
      </c>
    </row>
    <row r="23" spans="1:10" ht="14.5" x14ac:dyDescent="0.35">
      <c r="A23" s="38" t="s">
        <v>389</v>
      </c>
      <c r="B23" s="38" t="s">
        <v>394</v>
      </c>
      <c r="C23" s="40">
        <v>11.9063</v>
      </c>
      <c r="D23" s="40">
        <v>12.165900000000001</v>
      </c>
      <c r="E23" s="40">
        <v>12.1441</v>
      </c>
      <c r="F23" s="40">
        <v>12.1122</v>
      </c>
      <c r="G23" s="40">
        <v>12.1303</v>
      </c>
      <c r="H23" s="40">
        <v>12.2621</v>
      </c>
      <c r="I23" s="40">
        <v>12.262</v>
      </c>
      <c r="J23" s="40">
        <v>12.139900000000001</v>
      </c>
    </row>
    <row r="24" spans="1:10" ht="14.5" x14ac:dyDescent="0.35">
      <c r="A24" s="38" t="s">
        <v>390</v>
      </c>
      <c r="B24" s="38" t="s">
        <v>394</v>
      </c>
      <c r="C24" s="40">
        <v>11.1882</v>
      </c>
      <c r="D24" s="40">
        <v>11.722799999999999</v>
      </c>
      <c r="E24" s="40">
        <v>11.8584</v>
      </c>
      <c r="F24" s="40">
        <v>11.881399999999999</v>
      </c>
      <c r="G24" s="40">
        <v>11.854200000000001</v>
      </c>
      <c r="H24" s="40">
        <v>11.908300000000001</v>
      </c>
      <c r="I24" s="40">
        <v>11.317399999999999</v>
      </c>
      <c r="J24" s="40">
        <v>11.6777</v>
      </c>
    </row>
    <row r="25" spans="1:10" ht="14.5" x14ac:dyDescent="0.35">
      <c r="A25" s="38" t="s">
        <v>391</v>
      </c>
      <c r="B25" s="38" t="s">
        <v>394</v>
      </c>
      <c r="C25" s="40">
        <v>10.76</v>
      </c>
      <c r="D25" s="40">
        <v>10.8347</v>
      </c>
      <c r="E25" s="40">
        <v>11.1936</v>
      </c>
      <c r="F25" s="40">
        <v>11.2615</v>
      </c>
      <c r="G25" s="40">
        <v>11.125299999999999</v>
      </c>
      <c r="H25" s="40">
        <v>10.771599999999999</v>
      </c>
      <c r="I25" s="40">
        <v>10.5755</v>
      </c>
      <c r="J25" s="40">
        <v>10.932399999999999</v>
      </c>
    </row>
    <row r="26" spans="1:10" ht="14.5" x14ac:dyDescent="0.35">
      <c r="A26" s="38" t="s">
        <v>392</v>
      </c>
      <c r="B26" s="38" t="s">
        <v>394</v>
      </c>
      <c r="C26" s="40">
        <v>9.3549000000000007</v>
      </c>
      <c r="D26" s="40">
        <v>8.9056999999999995</v>
      </c>
      <c r="E26" s="40">
        <v>9.3668999999999993</v>
      </c>
      <c r="F26" s="40">
        <v>9.4334000000000007</v>
      </c>
      <c r="G26" s="40">
        <v>9.4374000000000002</v>
      </c>
      <c r="H26" s="40">
        <v>9.1667000000000005</v>
      </c>
      <c r="I26" s="40">
        <v>9.3650000000000002</v>
      </c>
      <c r="J26" s="40">
        <v>9.2844999999999995</v>
      </c>
    </row>
    <row r="27" spans="1:10" ht="14.5" x14ac:dyDescent="0.35">
      <c r="A27" s="38" t="s">
        <v>393</v>
      </c>
      <c r="B27" s="38" t="s">
        <v>394</v>
      </c>
      <c r="C27" s="40">
        <v>6.4897</v>
      </c>
      <c r="D27" s="40">
        <v>5.7521000000000004</v>
      </c>
      <c r="E27" s="40">
        <v>6.1352000000000002</v>
      </c>
      <c r="F27" s="40">
        <v>6.2739000000000003</v>
      </c>
      <c r="G27" s="40">
        <v>6.3215000000000003</v>
      </c>
      <c r="H27" s="40">
        <v>6.6048999999999998</v>
      </c>
      <c r="I27" s="40">
        <v>7.0502000000000002</v>
      </c>
      <c r="J27" s="40">
        <v>6.3630000000000004</v>
      </c>
    </row>
    <row r="28" spans="1:10" ht="14.5" x14ac:dyDescent="0.35">
      <c r="A28" s="46" t="s">
        <v>304</v>
      </c>
      <c r="B28" s="46" t="s">
        <v>394</v>
      </c>
      <c r="C28" s="48">
        <v>100</v>
      </c>
      <c r="D28" s="48">
        <v>100</v>
      </c>
      <c r="E28" s="48">
        <v>100</v>
      </c>
      <c r="F28" s="48">
        <v>100</v>
      </c>
      <c r="G28" s="48">
        <v>100</v>
      </c>
      <c r="H28" s="48">
        <v>100</v>
      </c>
      <c r="I28" s="48">
        <v>100</v>
      </c>
      <c r="J28" s="48">
        <v>100</v>
      </c>
    </row>
    <row r="29" spans="1:10" ht="14.5" x14ac:dyDescent="0.35">
      <c r="A29" s="38" t="s">
        <v>382</v>
      </c>
      <c r="B29" s="38" t="s">
        <v>395</v>
      </c>
      <c r="C29" s="40">
        <v>16.4236</v>
      </c>
      <c r="D29" s="40">
        <v>14.385899999999999</v>
      </c>
      <c r="E29" s="40">
        <v>13.479900000000001</v>
      </c>
      <c r="F29" s="40">
        <v>13.420400000000001</v>
      </c>
      <c r="G29" s="40">
        <v>13.4886</v>
      </c>
      <c r="H29" s="40">
        <v>13.6867</v>
      </c>
      <c r="I29" s="40">
        <v>15.1149</v>
      </c>
      <c r="J29" s="40">
        <v>100</v>
      </c>
    </row>
    <row r="30" spans="1:10" ht="14.5" x14ac:dyDescent="0.35">
      <c r="A30" s="38" t="s">
        <v>383</v>
      </c>
      <c r="B30" s="38" t="s">
        <v>395</v>
      </c>
      <c r="C30" s="40">
        <v>16.381699999999999</v>
      </c>
      <c r="D30" s="40">
        <v>14.4381</v>
      </c>
      <c r="E30" s="40">
        <v>13.3599</v>
      </c>
      <c r="F30" s="40">
        <v>13.5806</v>
      </c>
      <c r="G30" s="40">
        <v>13.4625</v>
      </c>
      <c r="H30" s="40">
        <v>13.655099999999999</v>
      </c>
      <c r="I30" s="40">
        <v>15.1221</v>
      </c>
      <c r="J30" s="40">
        <v>100</v>
      </c>
    </row>
    <row r="31" spans="1:10" ht="14.5" x14ac:dyDescent="0.35">
      <c r="A31" s="38" t="s">
        <v>384</v>
      </c>
      <c r="B31" s="38" t="s">
        <v>395</v>
      </c>
      <c r="C31" s="40">
        <v>15.728199999999999</v>
      </c>
      <c r="D31" s="40">
        <v>14.7797</v>
      </c>
      <c r="E31" s="40">
        <v>13.813000000000001</v>
      </c>
      <c r="F31" s="40">
        <v>13.6411</v>
      </c>
      <c r="G31" s="40">
        <v>13.6548</v>
      </c>
      <c r="H31" s="40">
        <v>13.703200000000001</v>
      </c>
      <c r="I31" s="40">
        <v>14.68</v>
      </c>
      <c r="J31" s="40">
        <v>100</v>
      </c>
    </row>
    <row r="32" spans="1:10" ht="14.5" x14ac:dyDescent="0.35">
      <c r="A32" s="38" t="s">
        <v>385</v>
      </c>
      <c r="B32" s="38" t="s">
        <v>395</v>
      </c>
      <c r="C32" s="40">
        <v>14.5222</v>
      </c>
      <c r="D32" s="40">
        <v>15.756</v>
      </c>
      <c r="E32" s="40">
        <v>14.3165</v>
      </c>
      <c r="F32" s="40">
        <v>13.8841</v>
      </c>
      <c r="G32" s="40">
        <v>13.8757</v>
      </c>
      <c r="H32" s="40">
        <v>13.811999999999999</v>
      </c>
      <c r="I32" s="40">
        <v>13.833600000000001</v>
      </c>
      <c r="J32" s="40">
        <v>100</v>
      </c>
    </row>
    <row r="33" spans="1:10" ht="14.5" x14ac:dyDescent="0.35">
      <c r="A33" s="38" t="s">
        <v>386</v>
      </c>
      <c r="B33" s="38" t="s">
        <v>395</v>
      </c>
      <c r="C33" s="40">
        <v>13.9346</v>
      </c>
      <c r="D33" s="40">
        <v>16.481300000000001</v>
      </c>
      <c r="E33" s="40">
        <v>14.6274</v>
      </c>
      <c r="F33" s="40">
        <v>14.1012</v>
      </c>
      <c r="G33" s="40">
        <v>13.9748</v>
      </c>
      <c r="H33" s="40">
        <v>13.9512</v>
      </c>
      <c r="I33" s="40">
        <v>12.929500000000001</v>
      </c>
      <c r="J33" s="40">
        <v>100</v>
      </c>
    </row>
    <row r="34" spans="1:10" ht="14.5" x14ac:dyDescent="0.35">
      <c r="A34" s="38" t="s">
        <v>387</v>
      </c>
      <c r="B34" s="38" t="s">
        <v>395</v>
      </c>
      <c r="C34" s="40">
        <v>13.9666</v>
      </c>
      <c r="D34" s="40">
        <v>16.316400000000002</v>
      </c>
      <c r="E34" s="40">
        <v>14.5449</v>
      </c>
      <c r="F34" s="40">
        <v>13.989000000000001</v>
      </c>
      <c r="G34" s="40">
        <v>14.0227</v>
      </c>
      <c r="H34" s="40">
        <v>14.002599999999999</v>
      </c>
      <c r="I34" s="40">
        <v>13.1578</v>
      </c>
      <c r="J34" s="40">
        <v>100</v>
      </c>
    </row>
    <row r="35" spans="1:10" ht="14.5" x14ac:dyDescent="0.35">
      <c r="A35" s="38" t="s">
        <v>388</v>
      </c>
      <c r="B35" s="38" t="s">
        <v>395</v>
      </c>
      <c r="C35" s="40">
        <v>13.856</v>
      </c>
      <c r="D35" s="40">
        <v>15.894</v>
      </c>
      <c r="E35" s="40">
        <v>14.402799999999999</v>
      </c>
      <c r="F35" s="40">
        <v>14.0206</v>
      </c>
      <c r="G35" s="40">
        <v>14.113099999999999</v>
      </c>
      <c r="H35" s="40">
        <v>14.214600000000001</v>
      </c>
      <c r="I35" s="40">
        <v>13.498900000000001</v>
      </c>
      <c r="J35" s="40">
        <v>100</v>
      </c>
    </row>
    <row r="36" spans="1:10" ht="14.5" x14ac:dyDescent="0.35">
      <c r="A36" s="38" t="s">
        <v>389</v>
      </c>
      <c r="B36" s="38" t="s">
        <v>395</v>
      </c>
      <c r="C36" s="40">
        <v>13.953900000000001</v>
      </c>
      <c r="D36" s="40">
        <v>15.548999999999999</v>
      </c>
      <c r="E36" s="40">
        <v>14.396699999999999</v>
      </c>
      <c r="F36" s="40">
        <v>14.0472</v>
      </c>
      <c r="G36" s="40">
        <v>14.0471</v>
      </c>
      <c r="H36" s="40">
        <v>14.1967</v>
      </c>
      <c r="I36" s="40">
        <v>13.8094</v>
      </c>
      <c r="J36" s="40">
        <v>100</v>
      </c>
    </row>
    <row r="37" spans="1:10" ht="14.5" x14ac:dyDescent="0.35">
      <c r="A37" s="38" t="s">
        <v>390</v>
      </c>
      <c r="B37" s="38" t="s">
        <v>395</v>
      </c>
      <c r="C37" s="40">
        <v>13.631399999999999</v>
      </c>
      <c r="D37" s="40">
        <v>15.575699999999999</v>
      </c>
      <c r="E37" s="40">
        <v>14.6144</v>
      </c>
      <c r="F37" s="40">
        <v>14.324999999999999</v>
      </c>
      <c r="G37" s="40">
        <v>14.2707</v>
      </c>
      <c r="H37" s="40">
        <v>14.332800000000001</v>
      </c>
      <c r="I37" s="40">
        <v>13.25</v>
      </c>
      <c r="J37" s="40">
        <v>100</v>
      </c>
    </row>
    <row r="38" spans="1:10" ht="14.5" x14ac:dyDescent="0.35">
      <c r="A38" s="38" t="s">
        <v>391</v>
      </c>
      <c r="B38" s="38" t="s">
        <v>395</v>
      </c>
      <c r="C38" s="40">
        <v>14.003500000000001</v>
      </c>
      <c r="D38" s="40">
        <v>15.3772</v>
      </c>
      <c r="E38" s="40">
        <v>14.7356</v>
      </c>
      <c r="F38" s="40">
        <v>14.503299999999999</v>
      </c>
      <c r="G38" s="40">
        <v>14.3064</v>
      </c>
      <c r="H38" s="40">
        <v>13.8485</v>
      </c>
      <c r="I38" s="40">
        <v>13.2255</v>
      </c>
      <c r="J38" s="40">
        <v>100</v>
      </c>
    </row>
    <row r="39" spans="1:10" ht="14.5" x14ac:dyDescent="0.35">
      <c r="A39" s="38" t="s">
        <v>392</v>
      </c>
      <c r="B39" s="38" t="s">
        <v>395</v>
      </c>
      <c r="C39" s="40">
        <v>14.335599999999999</v>
      </c>
      <c r="D39" s="40">
        <v>14.8827</v>
      </c>
      <c r="E39" s="40">
        <v>14.519500000000001</v>
      </c>
      <c r="F39" s="40">
        <v>14.305199999999999</v>
      </c>
      <c r="G39" s="40">
        <v>14.2898</v>
      </c>
      <c r="H39" s="40">
        <v>13.876899999999999</v>
      </c>
      <c r="I39" s="40">
        <v>13.7903</v>
      </c>
      <c r="J39" s="40">
        <v>100</v>
      </c>
    </row>
    <row r="40" spans="1:10" ht="14.5" x14ac:dyDescent="0.35">
      <c r="A40" s="38" t="s">
        <v>393</v>
      </c>
      <c r="B40" s="38" t="s">
        <v>395</v>
      </c>
      <c r="C40" s="40">
        <v>14.510899999999999</v>
      </c>
      <c r="D40" s="40">
        <v>14.026199999999999</v>
      </c>
      <c r="E40" s="40">
        <v>13.8766</v>
      </c>
      <c r="F40" s="40">
        <v>13.882099999999999</v>
      </c>
      <c r="G40" s="40">
        <v>13.9666</v>
      </c>
      <c r="H40" s="40">
        <v>14.589399999999999</v>
      </c>
      <c r="I40" s="40">
        <v>15.148300000000001</v>
      </c>
      <c r="J40" s="40">
        <v>100</v>
      </c>
    </row>
    <row r="41" spans="1:10" ht="14.5" x14ac:dyDescent="0.35">
      <c r="A41" s="41" t="s">
        <v>304</v>
      </c>
      <c r="B41" s="41" t="s">
        <v>395</v>
      </c>
      <c r="C41" s="43">
        <v>14.2278</v>
      </c>
      <c r="D41" s="43">
        <v>15.5158</v>
      </c>
      <c r="E41" s="43">
        <v>14.3918</v>
      </c>
      <c r="F41" s="43">
        <v>14.0794</v>
      </c>
      <c r="G41" s="43">
        <v>14.058299999999999</v>
      </c>
      <c r="H41" s="43">
        <v>14.055199999999999</v>
      </c>
      <c r="I41" s="43">
        <v>13.671799999999999</v>
      </c>
      <c r="J41" s="43">
        <v>100</v>
      </c>
    </row>
    <row r="42" spans="1:10" ht="14.5" x14ac:dyDescent="0.35">
      <c r="A42" s="98" t="s">
        <v>396</v>
      </c>
      <c r="B42" s="99"/>
      <c r="C42" s="99"/>
      <c r="D42" s="99"/>
      <c r="E42" s="99"/>
      <c r="F42" s="99"/>
      <c r="G42" s="99"/>
      <c r="H42" s="99"/>
      <c r="I42" s="99"/>
      <c r="J42" s="99"/>
    </row>
    <row r="43" spans="1:10" ht="14.5" x14ac:dyDescent="0.35">
      <c r="A43" s="44"/>
      <c r="B43" s="35"/>
      <c r="C43" s="35"/>
      <c r="D43" s="35"/>
      <c r="E43" s="35"/>
      <c r="F43" s="35"/>
      <c r="G43" s="35"/>
      <c r="H43" s="35"/>
      <c r="I43" s="35"/>
      <c r="J43" s="35"/>
    </row>
    <row r="44" spans="1:10" ht="14.5" x14ac:dyDescent="0.35">
      <c r="A44" s="35" t="s">
        <v>290</v>
      </c>
      <c r="B44" s="35"/>
      <c r="C44" s="35"/>
      <c r="D44" s="35"/>
      <c r="E44" s="35"/>
      <c r="F44" s="35"/>
      <c r="G44" s="35"/>
      <c r="H44" s="35"/>
      <c r="I44" s="35"/>
      <c r="J44" s="35"/>
    </row>
    <row r="45" spans="1:10" ht="14.5" x14ac:dyDescent="0.35">
      <c r="A45" s="45" t="s">
        <v>291</v>
      </c>
      <c r="B45" s="35"/>
      <c r="C45" s="35"/>
      <c r="D45" s="35"/>
      <c r="E45" s="35"/>
      <c r="F45" s="35"/>
      <c r="G45" s="35"/>
      <c r="H45" s="35"/>
      <c r="I45" s="35"/>
      <c r="J45" s="35"/>
    </row>
    <row r="46" spans="1:10" ht="14.5" x14ac:dyDescent="0.35">
      <c r="A46" s="35"/>
      <c r="B46" s="35"/>
      <c r="C46" s="35"/>
      <c r="D46" s="35"/>
      <c r="E46" s="35"/>
      <c r="F46" s="35"/>
      <c r="G46" s="35"/>
      <c r="H46" s="35"/>
      <c r="I46" s="35"/>
      <c r="J46" s="35"/>
    </row>
    <row r="47" spans="1:10" ht="14.5" x14ac:dyDescent="0.35">
      <c r="A47" s="45" t="s">
        <v>3</v>
      </c>
      <c r="B47" s="35"/>
      <c r="C47" s="35"/>
      <c r="D47" s="35"/>
      <c r="E47" s="35"/>
      <c r="F47" s="35"/>
      <c r="G47" s="35"/>
      <c r="H47" s="35"/>
      <c r="I47" s="35"/>
      <c r="J47" s="35"/>
    </row>
    <row r="48" spans="1:10" ht="14.5" x14ac:dyDescent="0.35">
      <c r="A48" s="35"/>
      <c r="B48" s="35"/>
      <c r="C48" s="35"/>
      <c r="D48" s="35"/>
      <c r="E48" s="35"/>
      <c r="F48" s="35"/>
      <c r="G48" s="35"/>
      <c r="H48" s="35"/>
      <c r="I48" s="35"/>
      <c r="J48" s="35"/>
    </row>
    <row r="49" spans="1:10" ht="14.5" x14ac:dyDescent="0.35">
      <c r="A49" s="45" t="s">
        <v>292</v>
      </c>
      <c r="B49" s="35"/>
      <c r="C49" s="35"/>
      <c r="D49" s="35"/>
      <c r="E49" s="35"/>
      <c r="F49" s="35"/>
      <c r="G49" s="35"/>
      <c r="H49" s="35"/>
      <c r="I49" s="35"/>
      <c r="J49" s="35"/>
    </row>
  </sheetData>
  <mergeCells count="2">
    <mergeCell ref="A1:J1"/>
    <mergeCell ref="A42:J42"/>
  </mergeCells>
  <hyperlinks>
    <hyperlink ref="A45" r:id="rId1" xr:uid="{00000000-0004-0000-0C00-000000000000}"/>
    <hyperlink ref="A47" location="'Technical specifications'!A1" display="Technical specifications" xr:uid="{00000000-0004-0000-0C00-000001000000}"/>
    <hyperlink ref="A49" location="Contents!A1" display="Back to contents" xr:uid="{00000000-0004-0000-0C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J35"/>
  <sheetViews>
    <sheetView workbookViewId="0">
      <selection sqref="A1:J1"/>
    </sheetView>
  </sheetViews>
  <sheetFormatPr defaultRowHeight="14.75" customHeight="1" x14ac:dyDescent="0.35"/>
  <cols>
    <col min="1" max="1" width="108" customWidth="1"/>
    <col min="2" max="10" width="8.453125" customWidth="1"/>
  </cols>
  <sheetData>
    <row r="1" spans="1:10" ht="33.75" customHeight="1" x14ac:dyDescent="0.35">
      <c r="A1" s="96" t="s">
        <v>397</v>
      </c>
      <c r="B1" s="97"/>
      <c r="C1" s="97"/>
      <c r="D1" s="97"/>
      <c r="E1" s="97"/>
      <c r="F1" s="97"/>
      <c r="G1" s="97"/>
      <c r="H1" s="97"/>
      <c r="I1" s="97"/>
      <c r="J1" s="97"/>
    </row>
    <row r="2" spans="1:10" ht="14.5" x14ac:dyDescent="0.35">
      <c r="A2" s="36" t="s">
        <v>398</v>
      </c>
      <c r="B2" s="37" t="s">
        <v>295</v>
      </c>
      <c r="C2" s="37" t="s">
        <v>297</v>
      </c>
      <c r="D2" s="37" t="s">
        <v>298</v>
      </c>
      <c r="E2" s="37" t="s">
        <v>299</v>
      </c>
      <c r="F2" s="37" t="s">
        <v>300</v>
      </c>
      <c r="G2" s="37" t="s">
        <v>301</v>
      </c>
      <c r="H2" s="37" t="s">
        <v>302</v>
      </c>
      <c r="I2" s="37" t="s">
        <v>303</v>
      </c>
      <c r="J2" s="37" t="s">
        <v>304</v>
      </c>
    </row>
    <row r="3" spans="1:10" ht="14.5" x14ac:dyDescent="0.35">
      <c r="A3" s="38" t="s">
        <v>399</v>
      </c>
      <c r="B3" s="39">
        <v>125772</v>
      </c>
      <c r="C3" s="39">
        <v>88147</v>
      </c>
      <c r="D3" s="39">
        <v>81851</v>
      </c>
      <c r="E3" s="39">
        <v>54124</v>
      </c>
      <c r="F3" s="39">
        <v>27069</v>
      </c>
      <c r="G3" s="39">
        <v>7163</v>
      </c>
      <c r="H3" s="39">
        <v>8178</v>
      </c>
      <c r="I3" s="39">
        <v>8202</v>
      </c>
      <c r="J3" s="39">
        <v>400506</v>
      </c>
    </row>
    <row r="4" spans="1:10" ht="14.5" x14ac:dyDescent="0.35">
      <c r="A4" s="38" t="s">
        <v>400</v>
      </c>
      <c r="B4" s="39">
        <v>9216</v>
      </c>
      <c r="C4" s="39">
        <v>5641</v>
      </c>
      <c r="D4" s="39">
        <v>6861</v>
      </c>
      <c r="E4" s="39">
        <v>3234</v>
      </c>
      <c r="F4" s="39">
        <v>1834</v>
      </c>
      <c r="G4" s="39">
        <v>762</v>
      </c>
      <c r="H4" s="39">
        <v>324</v>
      </c>
      <c r="I4" s="39">
        <v>311</v>
      </c>
      <c r="J4" s="39">
        <v>28183</v>
      </c>
    </row>
    <row r="5" spans="1:10" ht="14.5" x14ac:dyDescent="0.35">
      <c r="A5" s="38" t="s">
        <v>401</v>
      </c>
      <c r="B5" s="39">
        <v>14781</v>
      </c>
      <c r="C5" s="39">
        <v>10647</v>
      </c>
      <c r="D5" s="39">
        <v>8506</v>
      </c>
      <c r="E5" s="39">
        <v>5166</v>
      </c>
      <c r="F5" s="39">
        <v>3350</v>
      </c>
      <c r="G5" s="39">
        <v>900</v>
      </c>
      <c r="H5" s="39">
        <v>778</v>
      </c>
      <c r="I5" s="39">
        <v>537</v>
      </c>
      <c r="J5" s="39">
        <v>44665</v>
      </c>
    </row>
    <row r="6" spans="1:10" ht="14.5" x14ac:dyDescent="0.35">
      <c r="A6" s="38" t="s">
        <v>402</v>
      </c>
      <c r="B6" s="39">
        <v>30455</v>
      </c>
      <c r="C6" s="39">
        <v>21567</v>
      </c>
      <c r="D6" s="39">
        <v>21993</v>
      </c>
      <c r="E6" s="39">
        <v>10319</v>
      </c>
      <c r="F6" s="39">
        <v>6755</v>
      </c>
      <c r="G6" s="39">
        <v>2163</v>
      </c>
      <c r="H6" s="39">
        <v>1661</v>
      </c>
      <c r="I6" s="39">
        <v>4288</v>
      </c>
      <c r="J6" s="39">
        <v>99201</v>
      </c>
    </row>
    <row r="7" spans="1:10" ht="14.5" x14ac:dyDescent="0.35">
      <c r="A7" s="38" t="s">
        <v>403</v>
      </c>
      <c r="B7" s="39">
        <v>94534</v>
      </c>
      <c r="C7" s="39">
        <v>68740</v>
      </c>
      <c r="D7" s="39">
        <v>74613</v>
      </c>
      <c r="E7" s="39">
        <v>36799</v>
      </c>
      <c r="F7" s="39">
        <v>24860</v>
      </c>
      <c r="G7" s="39">
        <v>6386</v>
      </c>
      <c r="H7" s="39">
        <v>5392</v>
      </c>
      <c r="I7" s="39">
        <v>6859</v>
      </c>
      <c r="J7" s="39">
        <v>318183</v>
      </c>
    </row>
    <row r="8" spans="1:10" ht="14.5" x14ac:dyDescent="0.35">
      <c r="A8" s="38" t="s">
        <v>404</v>
      </c>
      <c r="B8" s="39">
        <v>34810</v>
      </c>
      <c r="C8" s="39">
        <v>38683</v>
      </c>
      <c r="D8" s="39">
        <v>26303</v>
      </c>
      <c r="E8" s="39">
        <v>15391</v>
      </c>
      <c r="F8" s="39">
        <v>9464</v>
      </c>
      <c r="G8" s="39">
        <v>4066</v>
      </c>
      <c r="H8" s="39">
        <v>1961</v>
      </c>
      <c r="I8" s="39">
        <v>2332</v>
      </c>
      <c r="J8" s="39">
        <v>133010</v>
      </c>
    </row>
    <row r="9" spans="1:10" ht="14.5" x14ac:dyDescent="0.35">
      <c r="A9" s="38" t="s">
        <v>405</v>
      </c>
      <c r="B9" s="39">
        <v>47846</v>
      </c>
      <c r="C9" s="39">
        <v>33094</v>
      </c>
      <c r="D9" s="39">
        <v>18059</v>
      </c>
      <c r="E9" s="39">
        <v>11826</v>
      </c>
      <c r="F9" s="39">
        <v>5118</v>
      </c>
      <c r="G9" s="39">
        <v>1355</v>
      </c>
      <c r="H9" s="39">
        <v>2156</v>
      </c>
      <c r="I9" s="39">
        <v>2073</v>
      </c>
      <c r="J9" s="39">
        <v>121527</v>
      </c>
    </row>
    <row r="10" spans="1:10" ht="14.5" x14ac:dyDescent="0.35">
      <c r="A10" s="38" t="s">
        <v>406</v>
      </c>
      <c r="B10" s="39">
        <v>41238</v>
      </c>
      <c r="C10" s="39">
        <v>28037</v>
      </c>
      <c r="D10" s="39">
        <v>18254</v>
      </c>
      <c r="E10" s="39">
        <v>16351</v>
      </c>
      <c r="F10" s="39">
        <v>6264</v>
      </c>
      <c r="G10" s="39">
        <v>1498</v>
      </c>
      <c r="H10" s="39">
        <v>1418</v>
      </c>
      <c r="I10" s="39">
        <v>2966</v>
      </c>
      <c r="J10" s="39">
        <v>116026</v>
      </c>
    </row>
    <row r="11" spans="1:10" ht="14.5" x14ac:dyDescent="0.35">
      <c r="A11" s="38" t="s">
        <v>407</v>
      </c>
      <c r="B11" s="39">
        <v>114651</v>
      </c>
      <c r="C11" s="39">
        <v>79147</v>
      </c>
      <c r="D11" s="39">
        <v>71727</v>
      </c>
      <c r="E11" s="39">
        <v>38442</v>
      </c>
      <c r="F11" s="39">
        <v>25148</v>
      </c>
      <c r="G11" s="39">
        <v>7959</v>
      </c>
      <c r="H11" s="39">
        <v>6126</v>
      </c>
      <c r="I11" s="39">
        <v>5594</v>
      </c>
      <c r="J11" s="39">
        <v>348794</v>
      </c>
    </row>
    <row r="12" spans="1:10" ht="14.5" x14ac:dyDescent="0.35">
      <c r="A12" s="38" t="s">
        <v>408</v>
      </c>
      <c r="B12" s="39">
        <v>233348</v>
      </c>
      <c r="C12" s="39">
        <v>131331</v>
      </c>
      <c r="D12" s="39">
        <v>118282</v>
      </c>
      <c r="E12" s="39">
        <v>77825</v>
      </c>
      <c r="F12" s="39">
        <v>51825</v>
      </c>
      <c r="G12" s="39">
        <v>12559</v>
      </c>
      <c r="H12" s="39">
        <v>11964</v>
      </c>
      <c r="I12" s="39">
        <v>16164</v>
      </c>
      <c r="J12" s="39">
        <v>653298</v>
      </c>
    </row>
    <row r="13" spans="1:10" ht="14.5" x14ac:dyDescent="0.35">
      <c r="A13" s="38" t="s">
        <v>409</v>
      </c>
      <c r="B13" s="39">
        <v>164322</v>
      </c>
      <c r="C13" s="39">
        <v>101007</v>
      </c>
      <c r="D13" s="39">
        <v>97300</v>
      </c>
      <c r="E13" s="39">
        <v>62873</v>
      </c>
      <c r="F13" s="39">
        <v>35584</v>
      </c>
      <c r="G13" s="39">
        <v>11053</v>
      </c>
      <c r="H13" s="39">
        <v>9319</v>
      </c>
      <c r="I13" s="39">
        <v>9707</v>
      </c>
      <c r="J13" s="39">
        <v>491165</v>
      </c>
    </row>
    <row r="14" spans="1:10" ht="14.5" x14ac:dyDescent="0.35">
      <c r="A14" s="38" t="s">
        <v>410</v>
      </c>
      <c r="B14" s="39">
        <v>109661</v>
      </c>
      <c r="C14" s="39">
        <v>59467</v>
      </c>
      <c r="D14" s="39">
        <v>63142</v>
      </c>
      <c r="E14" s="39">
        <v>41064</v>
      </c>
      <c r="F14" s="39">
        <v>19368</v>
      </c>
      <c r="G14" s="39">
        <v>5033</v>
      </c>
      <c r="H14" s="39">
        <v>5078</v>
      </c>
      <c r="I14" s="39">
        <v>11075</v>
      </c>
      <c r="J14" s="39">
        <v>313888</v>
      </c>
    </row>
    <row r="15" spans="1:10" ht="14.5" x14ac:dyDescent="0.35">
      <c r="A15" s="38" t="s">
        <v>411</v>
      </c>
      <c r="B15" s="39">
        <v>190564</v>
      </c>
      <c r="C15" s="39">
        <v>107197</v>
      </c>
      <c r="D15" s="39">
        <v>91721</v>
      </c>
      <c r="E15" s="39">
        <v>37618</v>
      </c>
      <c r="F15" s="39">
        <v>25761</v>
      </c>
      <c r="G15" s="39">
        <v>8873</v>
      </c>
      <c r="H15" s="39">
        <v>11670</v>
      </c>
      <c r="I15" s="39">
        <v>12310</v>
      </c>
      <c r="J15" s="39">
        <v>485714</v>
      </c>
    </row>
    <row r="16" spans="1:10" ht="14.5" x14ac:dyDescent="0.35">
      <c r="A16" s="38" t="s">
        <v>412</v>
      </c>
      <c r="B16" s="39">
        <v>130170</v>
      </c>
      <c r="C16" s="39">
        <v>80953</v>
      </c>
      <c r="D16" s="39">
        <v>73790</v>
      </c>
      <c r="E16" s="39">
        <v>45498</v>
      </c>
      <c r="F16" s="39">
        <v>23949</v>
      </c>
      <c r="G16" s="39">
        <v>7408</v>
      </c>
      <c r="H16" s="39">
        <v>7270</v>
      </c>
      <c r="I16" s="39">
        <v>8466</v>
      </c>
      <c r="J16" s="39">
        <v>377504</v>
      </c>
    </row>
    <row r="17" spans="1:10" ht="14.5" x14ac:dyDescent="0.35">
      <c r="A17" s="38" t="s">
        <v>413</v>
      </c>
      <c r="B17" s="39">
        <v>23751</v>
      </c>
      <c r="C17" s="39">
        <v>44833</v>
      </c>
      <c r="D17" s="39">
        <v>16470</v>
      </c>
      <c r="E17" s="39">
        <v>13203</v>
      </c>
      <c r="F17" s="39">
        <v>7864</v>
      </c>
      <c r="G17" s="39">
        <v>1269</v>
      </c>
      <c r="H17" s="39">
        <v>2194</v>
      </c>
      <c r="I17" s="39">
        <v>1311</v>
      </c>
      <c r="J17" s="39">
        <v>110895</v>
      </c>
    </row>
    <row r="18" spans="1:10" ht="14.5" x14ac:dyDescent="0.35">
      <c r="A18" s="38" t="s">
        <v>414</v>
      </c>
      <c r="B18" s="39">
        <v>1922</v>
      </c>
      <c r="C18" s="39">
        <v>4805</v>
      </c>
      <c r="D18" s="39">
        <v>2539</v>
      </c>
      <c r="E18" s="39">
        <v>1465</v>
      </c>
      <c r="F18" s="39">
        <v>779</v>
      </c>
      <c r="G18" s="39">
        <v>183</v>
      </c>
      <c r="H18" s="39">
        <v>152</v>
      </c>
      <c r="I18" s="39">
        <v>128</v>
      </c>
      <c r="J18" s="39">
        <v>11973</v>
      </c>
    </row>
    <row r="19" spans="1:10" ht="14.5" x14ac:dyDescent="0.35">
      <c r="A19" s="38" t="s">
        <v>415</v>
      </c>
      <c r="B19" s="39">
        <v>631</v>
      </c>
      <c r="C19" s="39">
        <v>204</v>
      </c>
      <c r="D19" s="39">
        <v>571</v>
      </c>
      <c r="E19" s="39">
        <v>196</v>
      </c>
      <c r="F19" s="39">
        <v>50</v>
      </c>
      <c r="G19" s="39">
        <v>9</v>
      </c>
      <c r="H19" s="39">
        <v>25</v>
      </c>
      <c r="I19" s="39">
        <v>32</v>
      </c>
      <c r="J19" s="39">
        <v>1718</v>
      </c>
    </row>
    <row r="20" spans="1:10" ht="14.5" x14ac:dyDescent="0.35">
      <c r="A20" s="38" t="s">
        <v>416</v>
      </c>
      <c r="B20" s="39">
        <v>984517</v>
      </c>
      <c r="C20" s="39">
        <v>527275</v>
      </c>
      <c r="D20" s="39">
        <v>452598</v>
      </c>
      <c r="E20" s="39">
        <v>179371</v>
      </c>
      <c r="F20" s="39">
        <v>198764</v>
      </c>
      <c r="G20" s="39">
        <v>46578</v>
      </c>
      <c r="H20" s="39">
        <v>47229</v>
      </c>
      <c r="I20" s="39">
        <v>32209</v>
      </c>
      <c r="J20" s="39">
        <v>2468541</v>
      </c>
    </row>
    <row r="21" spans="1:10" ht="14.5" x14ac:dyDescent="0.35">
      <c r="A21" s="38" t="s">
        <v>417</v>
      </c>
      <c r="B21" s="39">
        <v>675841</v>
      </c>
      <c r="C21" s="39">
        <v>421189</v>
      </c>
      <c r="D21" s="39">
        <v>374610</v>
      </c>
      <c r="E21" s="39">
        <v>258590</v>
      </c>
      <c r="F21" s="39">
        <v>138398</v>
      </c>
      <c r="G21" s="39">
        <v>42665</v>
      </c>
      <c r="H21" s="39">
        <v>38394</v>
      </c>
      <c r="I21" s="39">
        <v>34459</v>
      </c>
      <c r="J21" s="39">
        <v>1984146</v>
      </c>
    </row>
    <row r="22" spans="1:10" ht="14.5" x14ac:dyDescent="0.35">
      <c r="A22" s="38" t="s">
        <v>418</v>
      </c>
      <c r="B22" s="39">
        <v>14491</v>
      </c>
      <c r="C22" s="39">
        <v>6794</v>
      </c>
      <c r="D22" s="39">
        <v>6384</v>
      </c>
      <c r="E22" s="39">
        <v>3983</v>
      </c>
      <c r="F22" s="39">
        <v>124</v>
      </c>
      <c r="G22" s="39">
        <v>691</v>
      </c>
      <c r="H22" s="39">
        <v>790</v>
      </c>
      <c r="I22" s="39">
        <v>722</v>
      </c>
      <c r="J22" s="39">
        <v>33979</v>
      </c>
    </row>
    <row r="23" spans="1:10" ht="14.5" x14ac:dyDescent="0.35">
      <c r="A23" s="38" t="s">
        <v>419</v>
      </c>
      <c r="B23" s="39">
        <v>0</v>
      </c>
      <c r="C23" s="39">
        <v>0</v>
      </c>
      <c r="D23" s="39">
        <v>867</v>
      </c>
      <c r="E23" s="39">
        <v>1469</v>
      </c>
      <c r="F23" s="39">
        <v>0</v>
      </c>
      <c r="G23" s="39">
        <v>0</v>
      </c>
      <c r="H23" s="39">
        <v>8</v>
      </c>
      <c r="I23" s="39">
        <v>0</v>
      </c>
      <c r="J23" s="39">
        <v>2344</v>
      </c>
    </row>
    <row r="24" spans="1:10" ht="14.5" x14ac:dyDescent="0.35">
      <c r="A24" s="38" t="s">
        <v>420</v>
      </c>
      <c r="B24" s="39">
        <v>78749</v>
      </c>
      <c r="C24" s="39">
        <v>25919</v>
      </c>
      <c r="D24" s="39">
        <v>29554</v>
      </c>
      <c r="E24" s="39">
        <v>37486</v>
      </c>
      <c r="F24" s="39">
        <v>10535</v>
      </c>
      <c r="G24" s="39">
        <v>14475</v>
      </c>
      <c r="H24" s="39">
        <v>1527</v>
      </c>
      <c r="I24" s="39">
        <v>11609</v>
      </c>
      <c r="J24" s="39">
        <v>209854</v>
      </c>
    </row>
    <row r="25" spans="1:10" ht="14.5" x14ac:dyDescent="0.35">
      <c r="A25" s="38" t="s">
        <v>421</v>
      </c>
      <c r="B25" s="39">
        <v>39203</v>
      </c>
      <c r="C25" s="39">
        <v>93590</v>
      </c>
      <c r="D25" s="39">
        <v>110844</v>
      </c>
      <c r="E25" s="39">
        <v>74724</v>
      </c>
      <c r="F25" s="39">
        <v>13</v>
      </c>
      <c r="G25" s="39">
        <v>72</v>
      </c>
      <c r="H25" s="39">
        <v>3989</v>
      </c>
      <c r="I25" s="39">
        <v>16763</v>
      </c>
      <c r="J25" s="39">
        <v>339198</v>
      </c>
    </row>
    <row r="26" spans="1:10" ht="14.5" x14ac:dyDescent="0.35">
      <c r="A26" s="41" t="s">
        <v>304</v>
      </c>
      <c r="B26" s="42">
        <v>3160473</v>
      </c>
      <c r="C26" s="42">
        <v>1978267</v>
      </c>
      <c r="D26" s="42">
        <v>1766839</v>
      </c>
      <c r="E26" s="42">
        <v>1027017</v>
      </c>
      <c r="F26" s="42">
        <v>622876</v>
      </c>
      <c r="G26" s="42">
        <v>183120</v>
      </c>
      <c r="H26" s="42">
        <v>167603</v>
      </c>
      <c r="I26" s="42">
        <v>188117</v>
      </c>
      <c r="J26" s="42">
        <v>9094312</v>
      </c>
    </row>
    <row r="27" spans="1:10" ht="14.5" x14ac:dyDescent="0.35">
      <c r="A27" s="100" t="s">
        <v>422</v>
      </c>
      <c r="B27" s="99"/>
      <c r="C27" s="99"/>
      <c r="D27" s="99"/>
      <c r="E27" s="99"/>
      <c r="F27" s="99"/>
      <c r="G27" s="99"/>
      <c r="H27" s="99"/>
      <c r="I27" s="99"/>
      <c r="J27" s="99"/>
    </row>
    <row r="28" spans="1:10" ht="14.5" x14ac:dyDescent="0.35">
      <c r="A28" s="100" t="s">
        <v>423</v>
      </c>
      <c r="B28" s="99"/>
      <c r="C28" s="99"/>
      <c r="D28" s="99"/>
      <c r="E28" s="99"/>
      <c r="F28" s="99"/>
      <c r="G28" s="99"/>
      <c r="H28" s="99"/>
      <c r="I28" s="99"/>
      <c r="J28" s="99"/>
    </row>
    <row r="29" spans="1:10" ht="14.5" x14ac:dyDescent="0.35">
      <c r="A29" s="44"/>
      <c r="B29" s="35"/>
      <c r="C29" s="35"/>
      <c r="D29" s="35"/>
      <c r="E29" s="35"/>
      <c r="F29" s="35"/>
      <c r="G29" s="35"/>
      <c r="H29" s="35"/>
      <c r="I29" s="35"/>
      <c r="J29" s="35"/>
    </row>
    <row r="30" spans="1:10" ht="14.5" x14ac:dyDescent="0.35">
      <c r="A30" s="35" t="s">
        <v>290</v>
      </c>
      <c r="B30" s="35"/>
      <c r="C30" s="35"/>
      <c r="D30" s="35"/>
      <c r="E30" s="35"/>
      <c r="F30" s="35"/>
      <c r="G30" s="35"/>
      <c r="H30" s="35"/>
      <c r="I30" s="35"/>
      <c r="J30" s="35"/>
    </row>
    <row r="31" spans="1:10" ht="14.5" x14ac:dyDescent="0.35">
      <c r="A31" s="45" t="s">
        <v>291</v>
      </c>
      <c r="B31" s="35"/>
      <c r="C31" s="35"/>
      <c r="D31" s="35"/>
      <c r="E31" s="35"/>
      <c r="F31" s="35"/>
      <c r="G31" s="35"/>
      <c r="H31" s="35"/>
      <c r="I31" s="35"/>
      <c r="J31" s="35"/>
    </row>
    <row r="32" spans="1:10" ht="14.5" x14ac:dyDescent="0.35">
      <c r="A32" s="35"/>
      <c r="B32" s="35"/>
      <c r="C32" s="35"/>
      <c r="D32" s="35"/>
      <c r="E32" s="35"/>
      <c r="F32" s="35"/>
      <c r="G32" s="35"/>
      <c r="H32" s="35"/>
      <c r="I32" s="35"/>
      <c r="J32" s="35"/>
    </row>
    <row r="33" spans="1:10" ht="14.5" x14ac:dyDescent="0.35">
      <c r="A33" s="45" t="s">
        <v>3</v>
      </c>
      <c r="B33" s="35"/>
      <c r="C33" s="35"/>
      <c r="D33" s="35"/>
      <c r="E33" s="35"/>
      <c r="F33" s="35"/>
      <c r="G33" s="35"/>
      <c r="H33" s="35"/>
      <c r="I33" s="35"/>
      <c r="J33" s="35"/>
    </row>
    <row r="34" spans="1:10" ht="14.5" x14ac:dyDescent="0.35">
      <c r="A34" s="35"/>
      <c r="B34" s="35"/>
      <c r="C34" s="35"/>
      <c r="D34" s="35"/>
      <c r="E34" s="35"/>
      <c r="F34" s="35"/>
      <c r="G34" s="35"/>
      <c r="H34" s="35"/>
      <c r="I34" s="35"/>
      <c r="J34" s="35"/>
    </row>
    <row r="35" spans="1:10" ht="14.5" x14ac:dyDescent="0.35">
      <c r="A35" s="45" t="s">
        <v>292</v>
      </c>
      <c r="B35" s="35"/>
      <c r="C35" s="35"/>
      <c r="D35" s="35"/>
      <c r="E35" s="35"/>
      <c r="F35" s="35"/>
      <c r="G35" s="35"/>
      <c r="H35" s="35"/>
      <c r="I35" s="35"/>
      <c r="J35" s="35"/>
    </row>
  </sheetData>
  <mergeCells count="3">
    <mergeCell ref="A1:J1"/>
    <mergeCell ref="A28:J28"/>
    <mergeCell ref="A27:J27"/>
  </mergeCells>
  <hyperlinks>
    <hyperlink ref="A31" r:id="rId1" xr:uid="{00000000-0004-0000-0D00-000000000000}"/>
    <hyperlink ref="A33" location="'Technical specifications'!A1" display="Technical specifications" xr:uid="{00000000-0004-0000-0D00-000001000000}"/>
    <hyperlink ref="A35" location="Contents!A1" display="Back to contents" xr:uid="{00000000-0004-0000-0D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37"/>
  <sheetViews>
    <sheetView zoomScaleNormal="100" workbookViewId="0">
      <selection sqref="A1:G1"/>
    </sheetView>
  </sheetViews>
  <sheetFormatPr defaultRowHeight="14.75" customHeight="1" x14ac:dyDescent="0.35"/>
  <cols>
    <col min="1" max="1" width="108" customWidth="1"/>
    <col min="2" max="7" width="14.36328125" customWidth="1"/>
  </cols>
  <sheetData>
    <row r="1" spans="1:7" ht="33.75" customHeight="1" x14ac:dyDescent="0.35">
      <c r="A1" s="96" t="s">
        <v>424</v>
      </c>
      <c r="B1" s="97"/>
      <c r="C1" s="97"/>
      <c r="D1" s="97"/>
      <c r="E1" s="97"/>
      <c r="F1" s="97"/>
      <c r="G1" s="97"/>
    </row>
    <row r="2" spans="1:7" ht="15" thickBot="1" x14ac:dyDescent="0.4">
      <c r="A2" s="36" t="s">
        <v>398</v>
      </c>
      <c r="B2" s="37" t="s">
        <v>343</v>
      </c>
      <c r="C2" s="37" t="s">
        <v>344</v>
      </c>
      <c r="D2" s="37" t="s">
        <v>345</v>
      </c>
      <c r="E2" s="37" t="s">
        <v>346</v>
      </c>
      <c r="F2" s="37" t="s">
        <v>347</v>
      </c>
      <c r="G2" s="57" t="s">
        <v>1281</v>
      </c>
    </row>
    <row r="3" spans="1:7" ht="14.5" x14ac:dyDescent="0.35">
      <c r="A3" s="38" t="s">
        <v>399</v>
      </c>
      <c r="B3" s="39">
        <v>2413</v>
      </c>
      <c r="C3" s="39">
        <v>59520</v>
      </c>
      <c r="D3" s="39">
        <v>190155</v>
      </c>
      <c r="E3" s="39">
        <v>136423</v>
      </c>
      <c r="F3" s="39">
        <v>11991</v>
      </c>
      <c r="G3" s="39">
        <v>400506</v>
      </c>
    </row>
    <row r="4" spans="1:7" ht="14.5" x14ac:dyDescent="0.35">
      <c r="A4" s="38" t="s">
        <v>400</v>
      </c>
      <c r="B4" s="39">
        <v>332</v>
      </c>
      <c r="C4" s="39">
        <v>5948</v>
      </c>
      <c r="D4" s="39">
        <v>15334</v>
      </c>
      <c r="E4" s="39">
        <v>5622</v>
      </c>
      <c r="F4" s="39">
        <v>946</v>
      </c>
      <c r="G4" s="39">
        <v>28183</v>
      </c>
    </row>
    <row r="5" spans="1:7" ht="14.5" x14ac:dyDescent="0.35">
      <c r="A5" s="38" t="s">
        <v>401</v>
      </c>
      <c r="B5" s="39">
        <v>147</v>
      </c>
      <c r="C5" s="39">
        <v>11016</v>
      </c>
      <c r="D5" s="39">
        <v>24315</v>
      </c>
      <c r="E5" s="39">
        <v>7872</v>
      </c>
      <c r="F5" s="39">
        <v>1313</v>
      </c>
      <c r="G5" s="39">
        <v>44665</v>
      </c>
    </row>
    <row r="6" spans="1:7" ht="14.5" x14ac:dyDescent="0.35">
      <c r="A6" s="38" t="s">
        <v>402</v>
      </c>
      <c r="B6" s="39">
        <v>1402</v>
      </c>
      <c r="C6" s="39">
        <v>29037</v>
      </c>
      <c r="D6" s="39">
        <v>50836</v>
      </c>
      <c r="E6" s="39">
        <v>16305</v>
      </c>
      <c r="F6" s="39">
        <v>1618</v>
      </c>
      <c r="G6" s="39">
        <v>99201</v>
      </c>
    </row>
    <row r="7" spans="1:7" ht="14.5" x14ac:dyDescent="0.35">
      <c r="A7" s="38" t="s">
        <v>403</v>
      </c>
      <c r="B7" s="39">
        <v>6861</v>
      </c>
      <c r="C7" s="39">
        <v>67210</v>
      </c>
      <c r="D7" s="39">
        <v>166669</v>
      </c>
      <c r="E7" s="39">
        <v>68072</v>
      </c>
      <c r="F7" s="39">
        <v>9364</v>
      </c>
      <c r="G7" s="39">
        <v>318183</v>
      </c>
    </row>
    <row r="8" spans="1:7" ht="14.5" x14ac:dyDescent="0.35">
      <c r="A8" s="38" t="s">
        <v>404</v>
      </c>
      <c r="B8" s="39">
        <v>4323</v>
      </c>
      <c r="C8" s="39">
        <v>32772</v>
      </c>
      <c r="D8" s="39">
        <v>69064</v>
      </c>
      <c r="E8" s="39">
        <v>24597</v>
      </c>
      <c r="F8" s="39">
        <v>2243</v>
      </c>
      <c r="G8" s="39">
        <v>133010</v>
      </c>
    </row>
    <row r="9" spans="1:7" ht="14.5" x14ac:dyDescent="0.35">
      <c r="A9" s="38" t="s">
        <v>405</v>
      </c>
      <c r="B9" s="39">
        <v>98</v>
      </c>
      <c r="C9" s="39">
        <v>10127</v>
      </c>
      <c r="D9" s="39">
        <v>44059</v>
      </c>
      <c r="E9" s="39">
        <v>56528</v>
      </c>
      <c r="F9" s="39">
        <v>10714</v>
      </c>
      <c r="G9" s="39">
        <v>121527</v>
      </c>
    </row>
    <row r="10" spans="1:7" ht="14.5" x14ac:dyDescent="0.35">
      <c r="A10" s="38" t="s">
        <v>406</v>
      </c>
      <c r="B10" s="39">
        <v>30</v>
      </c>
      <c r="C10" s="39">
        <v>4035</v>
      </c>
      <c r="D10" s="39">
        <v>32071</v>
      </c>
      <c r="E10" s="39">
        <v>65145</v>
      </c>
      <c r="F10" s="39">
        <v>14744</v>
      </c>
      <c r="G10" s="39">
        <v>116026</v>
      </c>
    </row>
    <row r="11" spans="1:7" ht="14.5" x14ac:dyDescent="0.35">
      <c r="A11" s="38" t="s">
        <v>407</v>
      </c>
      <c r="B11" s="39">
        <v>18516</v>
      </c>
      <c r="C11" s="39">
        <v>157504</v>
      </c>
      <c r="D11" s="39">
        <v>129452</v>
      </c>
      <c r="E11" s="39">
        <v>39203</v>
      </c>
      <c r="F11" s="39">
        <v>4064</v>
      </c>
      <c r="G11" s="39">
        <v>348794</v>
      </c>
    </row>
    <row r="12" spans="1:7" ht="14.5" x14ac:dyDescent="0.35">
      <c r="A12" s="38" t="s">
        <v>408</v>
      </c>
      <c r="B12" s="39">
        <v>10608</v>
      </c>
      <c r="C12" s="39">
        <v>170115</v>
      </c>
      <c r="D12" s="39">
        <v>302329</v>
      </c>
      <c r="E12" s="39">
        <v>156948</v>
      </c>
      <c r="F12" s="39">
        <v>13252</v>
      </c>
      <c r="G12" s="39">
        <v>653298</v>
      </c>
    </row>
    <row r="13" spans="1:7" ht="14.5" x14ac:dyDescent="0.35">
      <c r="A13" s="38" t="s">
        <v>409</v>
      </c>
      <c r="B13" s="39">
        <v>1673</v>
      </c>
      <c r="C13" s="39">
        <v>60848</v>
      </c>
      <c r="D13" s="39">
        <v>268030</v>
      </c>
      <c r="E13" s="39">
        <v>148314</v>
      </c>
      <c r="F13" s="39">
        <v>12291</v>
      </c>
      <c r="G13" s="39">
        <v>491165</v>
      </c>
    </row>
    <row r="14" spans="1:7" ht="14.5" x14ac:dyDescent="0.35">
      <c r="A14" s="38" t="s">
        <v>410</v>
      </c>
      <c r="B14" s="39">
        <v>184</v>
      </c>
      <c r="C14" s="39">
        <v>14399</v>
      </c>
      <c r="D14" s="39">
        <v>92090</v>
      </c>
      <c r="E14" s="39">
        <v>177892</v>
      </c>
      <c r="F14" s="39">
        <v>29317</v>
      </c>
      <c r="G14" s="39">
        <v>313888</v>
      </c>
    </row>
    <row r="15" spans="1:7" ht="14.5" x14ac:dyDescent="0.35">
      <c r="A15" s="38" t="s">
        <v>411</v>
      </c>
      <c r="B15" s="39">
        <v>367</v>
      </c>
      <c r="C15" s="39">
        <v>32252</v>
      </c>
      <c r="D15" s="39">
        <v>163587</v>
      </c>
      <c r="E15" s="39">
        <v>252990</v>
      </c>
      <c r="F15" s="39">
        <v>36510</v>
      </c>
      <c r="G15" s="39">
        <v>485714</v>
      </c>
    </row>
    <row r="16" spans="1:7" ht="14.5" x14ac:dyDescent="0.35">
      <c r="A16" s="38" t="s">
        <v>412</v>
      </c>
      <c r="B16" s="39">
        <v>860</v>
      </c>
      <c r="C16" s="39">
        <v>60143</v>
      </c>
      <c r="D16" s="39">
        <v>195472</v>
      </c>
      <c r="E16" s="39">
        <v>112028</v>
      </c>
      <c r="F16" s="39">
        <v>8996</v>
      </c>
      <c r="G16" s="39">
        <v>377504</v>
      </c>
    </row>
    <row r="17" spans="1:7" ht="14.5" x14ac:dyDescent="0.35">
      <c r="A17" s="38" t="s">
        <v>413</v>
      </c>
      <c r="B17" s="39">
        <v>501</v>
      </c>
      <c r="C17" s="39">
        <v>12118</v>
      </c>
      <c r="D17" s="39">
        <v>59463</v>
      </c>
      <c r="E17" s="39">
        <v>33526</v>
      </c>
      <c r="F17" s="39">
        <v>5280</v>
      </c>
      <c r="G17" s="39">
        <v>110895</v>
      </c>
    </row>
    <row r="18" spans="1:7" ht="14.5" x14ac:dyDescent="0.35">
      <c r="A18" s="38" t="s">
        <v>414</v>
      </c>
      <c r="B18" s="39">
        <v>93</v>
      </c>
      <c r="C18" s="39">
        <v>5345</v>
      </c>
      <c r="D18" s="39">
        <v>4978</v>
      </c>
      <c r="E18" s="39">
        <v>1426</v>
      </c>
      <c r="F18" s="39">
        <v>131</v>
      </c>
      <c r="G18" s="39">
        <v>11973</v>
      </c>
    </row>
    <row r="19" spans="1:7" ht="14.5" x14ac:dyDescent="0.35">
      <c r="A19" s="38" t="s">
        <v>415</v>
      </c>
      <c r="B19" s="39">
        <v>20</v>
      </c>
      <c r="C19" s="39">
        <v>475</v>
      </c>
      <c r="D19" s="39">
        <v>734</v>
      </c>
      <c r="E19" s="39">
        <v>416</v>
      </c>
      <c r="F19" s="39">
        <v>73</v>
      </c>
      <c r="G19" s="39">
        <v>1718</v>
      </c>
    </row>
    <row r="20" spans="1:7" ht="14.5" x14ac:dyDescent="0.35">
      <c r="A20" s="38" t="s">
        <v>416</v>
      </c>
      <c r="B20" s="39">
        <v>15778</v>
      </c>
      <c r="C20" s="39">
        <v>596125</v>
      </c>
      <c r="D20" s="39">
        <v>1181185</v>
      </c>
      <c r="E20" s="39">
        <v>581280</v>
      </c>
      <c r="F20" s="39">
        <v>92843</v>
      </c>
      <c r="G20" s="39">
        <v>2468541</v>
      </c>
    </row>
    <row r="21" spans="1:7" ht="14.5" x14ac:dyDescent="0.35">
      <c r="A21" s="38" t="s">
        <v>417</v>
      </c>
      <c r="B21" s="39">
        <v>21078</v>
      </c>
      <c r="C21" s="39">
        <v>239073</v>
      </c>
      <c r="D21" s="39">
        <v>608173</v>
      </c>
      <c r="E21" s="39">
        <v>936041</v>
      </c>
      <c r="F21" s="39">
        <v>179732</v>
      </c>
      <c r="G21" s="39">
        <v>1984146</v>
      </c>
    </row>
    <row r="22" spans="1:7" ht="14.5" x14ac:dyDescent="0.35">
      <c r="A22" s="38" t="s">
        <v>418</v>
      </c>
      <c r="B22" s="39">
        <v>266</v>
      </c>
      <c r="C22" s="39">
        <v>7493</v>
      </c>
      <c r="D22" s="39">
        <v>16128</v>
      </c>
      <c r="E22" s="39">
        <v>8733</v>
      </c>
      <c r="F22" s="39">
        <v>1352</v>
      </c>
      <c r="G22" s="39">
        <v>33979</v>
      </c>
    </row>
    <row r="23" spans="1:7" ht="14.5" x14ac:dyDescent="0.35">
      <c r="A23" s="38" t="s">
        <v>419</v>
      </c>
      <c r="B23" s="39">
        <v>23</v>
      </c>
      <c r="C23" s="39">
        <v>702</v>
      </c>
      <c r="D23" s="39">
        <v>822</v>
      </c>
      <c r="E23" s="39">
        <v>675</v>
      </c>
      <c r="F23" s="39">
        <v>122</v>
      </c>
      <c r="G23" s="39">
        <v>2344</v>
      </c>
    </row>
    <row r="24" spans="1:7" ht="14.5" x14ac:dyDescent="0.35">
      <c r="A24" s="38" t="s">
        <v>420</v>
      </c>
      <c r="B24" s="39">
        <v>1068</v>
      </c>
      <c r="C24" s="39">
        <v>18740</v>
      </c>
      <c r="D24" s="39">
        <v>46832</v>
      </c>
      <c r="E24" s="39">
        <v>64265</v>
      </c>
      <c r="F24" s="39">
        <v>78929</v>
      </c>
      <c r="G24" s="39">
        <v>209854</v>
      </c>
    </row>
    <row r="25" spans="1:7" ht="14.5" x14ac:dyDescent="0.35">
      <c r="A25" s="38" t="s">
        <v>421</v>
      </c>
      <c r="B25" s="39">
        <v>190</v>
      </c>
      <c r="C25" s="39">
        <v>13417</v>
      </c>
      <c r="D25" s="39">
        <v>127898</v>
      </c>
      <c r="E25" s="39">
        <v>156689</v>
      </c>
      <c r="F25" s="39">
        <v>39396</v>
      </c>
      <c r="G25" s="39">
        <v>339198</v>
      </c>
    </row>
    <row r="26" spans="1:7" ht="14.5" x14ac:dyDescent="0.35">
      <c r="A26" s="59" t="s">
        <v>1275</v>
      </c>
      <c r="B26" s="42">
        <v>86831</v>
      </c>
      <c r="C26" s="42">
        <v>1608414</v>
      </c>
      <c r="D26" s="42">
        <v>3789676</v>
      </c>
      <c r="E26" s="42">
        <v>3050990</v>
      </c>
      <c r="F26" s="42">
        <v>555221</v>
      </c>
      <c r="G26" s="42">
        <v>9094312</v>
      </c>
    </row>
    <row r="27" spans="1:7" ht="14.5" x14ac:dyDescent="0.35">
      <c r="A27" s="100" t="s">
        <v>422</v>
      </c>
      <c r="B27" s="99"/>
      <c r="C27" s="99"/>
      <c r="D27" s="99"/>
      <c r="E27" s="99"/>
      <c r="F27" s="99"/>
      <c r="G27" s="99"/>
    </row>
    <row r="28" spans="1:7" ht="14.5" x14ac:dyDescent="0.35">
      <c r="A28" s="100" t="s">
        <v>423</v>
      </c>
      <c r="B28" s="99"/>
      <c r="C28" s="99"/>
      <c r="D28" s="99"/>
      <c r="E28" s="99"/>
      <c r="F28" s="99"/>
      <c r="G28" s="99"/>
    </row>
    <row r="29" spans="1:7" ht="14.5" x14ac:dyDescent="0.35">
      <c r="A29" s="100" t="s">
        <v>425</v>
      </c>
      <c r="B29" s="99"/>
      <c r="C29" s="99"/>
      <c r="D29" s="99"/>
      <c r="E29" s="99"/>
      <c r="F29" s="99"/>
      <c r="G29" s="99"/>
    </row>
    <row r="30" spans="1:7" ht="14.5" x14ac:dyDescent="0.35">
      <c r="A30" s="100" t="s">
        <v>426</v>
      </c>
      <c r="B30" s="99"/>
      <c r="C30" s="99"/>
      <c r="D30" s="99"/>
      <c r="E30" s="99"/>
      <c r="F30" s="99"/>
      <c r="G30" s="99"/>
    </row>
    <row r="31" spans="1:7" ht="14.5" x14ac:dyDescent="0.35">
      <c r="A31" s="44"/>
      <c r="B31" s="35"/>
      <c r="C31" s="35"/>
      <c r="D31" s="35"/>
      <c r="E31" s="35"/>
      <c r="F31" s="35"/>
      <c r="G31" s="35"/>
    </row>
    <row r="32" spans="1:7" ht="14.5" x14ac:dyDescent="0.35">
      <c r="A32" s="35" t="s">
        <v>290</v>
      </c>
      <c r="B32" s="35"/>
      <c r="C32" s="35"/>
      <c r="D32" s="35"/>
      <c r="E32" s="35"/>
      <c r="F32" s="35"/>
      <c r="G32" s="35"/>
    </row>
    <row r="33" spans="1:7" ht="14.5" x14ac:dyDescent="0.35">
      <c r="A33" s="45" t="s">
        <v>291</v>
      </c>
      <c r="B33" s="35"/>
      <c r="C33" s="35"/>
      <c r="D33" s="35"/>
      <c r="E33" s="35"/>
      <c r="F33" s="35"/>
      <c r="G33" s="35"/>
    </row>
    <row r="34" spans="1:7" ht="14.5" x14ac:dyDescent="0.35">
      <c r="A34" s="35"/>
      <c r="B34" s="35"/>
      <c r="C34" s="35"/>
      <c r="D34" s="35"/>
      <c r="E34" s="35"/>
      <c r="F34" s="35"/>
      <c r="G34" s="35"/>
    </row>
    <row r="35" spans="1:7" ht="14.5" x14ac:dyDescent="0.35">
      <c r="A35" s="45" t="s">
        <v>3</v>
      </c>
      <c r="B35" s="35"/>
      <c r="C35" s="35"/>
      <c r="D35" s="35"/>
      <c r="E35" s="35"/>
      <c r="F35" s="35"/>
      <c r="G35" s="35"/>
    </row>
    <row r="36" spans="1:7" ht="14.5" x14ac:dyDescent="0.35">
      <c r="A36" s="35"/>
      <c r="B36" s="35"/>
      <c r="C36" s="35"/>
      <c r="D36" s="35"/>
      <c r="E36" s="35"/>
      <c r="F36" s="35"/>
      <c r="G36" s="35"/>
    </row>
    <row r="37" spans="1:7" ht="14.5" x14ac:dyDescent="0.35">
      <c r="A37" s="45" t="s">
        <v>292</v>
      </c>
      <c r="B37" s="35"/>
      <c r="C37" s="35"/>
      <c r="D37" s="35"/>
      <c r="E37" s="35"/>
      <c r="F37" s="35"/>
      <c r="G37" s="35"/>
    </row>
  </sheetData>
  <mergeCells count="5">
    <mergeCell ref="A1:G1"/>
    <mergeCell ref="A27:G27"/>
    <mergeCell ref="A30:G30"/>
    <mergeCell ref="A29:G29"/>
    <mergeCell ref="A28:G28"/>
  </mergeCells>
  <hyperlinks>
    <hyperlink ref="A33" r:id="rId1" xr:uid="{00000000-0004-0000-0E00-000000000000}"/>
    <hyperlink ref="A35" location="'Technical specifications'!A1" display="Technical specifications" xr:uid="{00000000-0004-0000-0E00-000001000000}"/>
    <hyperlink ref="A37" location="Contents!A1" display="Back to contents" xr:uid="{00000000-0004-0000-0E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E61"/>
  <sheetViews>
    <sheetView workbookViewId="0">
      <selection sqref="A1:E1"/>
    </sheetView>
  </sheetViews>
  <sheetFormatPr defaultRowHeight="14.75" customHeight="1" x14ac:dyDescent="0.35"/>
  <cols>
    <col min="1" max="1" width="108" customWidth="1"/>
    <col min="2" max="2" width="23" customWidth="1"/>
    <col min="3" max="5" width="20" customWidth="1"/>
  </cols>
  <sheetData>
    <row r="1" spans="1:5" ht="33.75" customHeight="1" x14ac:dyDescent="0.35">
      <c r="A1" s="96" t="s">
        <v>427</v>
      </c>
      <c r="B1" s="97"/>
      <c r="C1" s="97"/>
      <c r="D1" s="97"/>
      <c r="E1" s="97"/>
    </row>
    <row r="2" spans="1:5" ht="24" x14ac:dyDescent="0.35">
      <c r="A2" s="36" t="s">
        <v>398</v>
      </c>
      <c r="B2" s="36" t="s">
        <v>294</v>
      </c>
      <c r="C2" s="57" t="s">
        <v>1293</v>
      </c>
      <c r="D2" s="57" t="s">
        <v>1294</v>
      </c>
      <c r="E2" s="37" t="s">
        <v>430</v>
      </c>
    </row>
    <row r="3" spans="1:5" ht="14.5" x14ac:dyDescent="0.35">
      <c r="A3" s="38" t="s">
        <v>399</v>
      </c>
      <c r="B3" s="38" t="s">
        <v>296</v>
      </c>
      <c r="C3" s="39">
        <v>110638</v>
      </c>
      <c r="D3" s="39">
        <v>289868</v>
      </c>
      <c r="E3" s="39">
        <v>400506</v>
      </c>
    </row>
    <row r="4" spans="1:5" ht="14.5" x14ac:dyDescent="0.35">
      <c r="A4" s="38" t="s">
        <v>400</v>
      </c>
      <c r="B4" s="38" t="s">
        <v>296</v>
      </c>
      <c r="C4" s="39">
        <v>19384</v>
      </c>
      <c r="D4" s="39">
        <v>8799</v>
      </c>
      <c r="E4" s="39">
        <v>28183</v>
      </c>
    </row>
    <row r="5" spans="1:5" ht="14.5" x14ac:dyDescent="0.35">
      <c r="A5" s="38" t="s">
        <v>401</v>
      </c>
      <c r="B5" s="38" t="s">
        <v>296</v>
      </c>
      <c r="C5" s="39">
        <v>31534</v>
      </c>
      <c r="D5" s="39">
        <v>13131</v>
      </c>
      <c r="E5" s="39">
        <v>44665</v>
      </c>
    </row>
    <row r="6" spans="1:5" ht="14.5" x14ac:dyDescent="0.35">
      <c r="A6" s="38" t="s">
        <v>402</v>
      </c>
      <c r="B6" s="38" t="s">
        <v>296</v>
      </c>
      <c r="C6" s="39">
        <v>63546</v>
      </c>
      <c r="D6" s="39">
        <v>35655</v>
      </c>
      <c r="E6" s="39">
        <v>99201</v>
      </c>
    </row>
    <row r="7" spans="1:5" ht="14.5" x14ac:dyDescent="0.35">
      <c r="A7" s="38" t="s">
        <v>403</v>
      </c>
      <c r="B7" s="38" t="s">
        <v>296</v>
      </c>
      <c r="C7" s="39">
        <v>122386</v>
      </c>
      <c r="D7" s="39">
        <v>195797</v>
      </c>
      <c r="E7" s="39">
        <v>318183</v>
      </c>
    </row>
    <row r="8" spans="1:5" ht="14.5" x14ac:dyDescent="0.35">
      <c r="A8" s="38" t="s">
        <v>404</v>
      </c>
      <c r="B8" s="38" t="s">
        <v>296</v>
      </c>
      <c r="C8" s="39">
        <v>58587</v>
      </c>
      <c r="D8" s="39">
        <v>74423</v>
      </c>
      <c r="E8" s="39">
        <v>133010</v>
      </c>
    </row>
    <row r="9" spans="1:5" ht="14.5" x14ac:dyDescent="0.35">
      <c r="A9" s="38" t="s">
        <v>405</v>
      </c>
      <c r="B9" s="38" t="s">
        <v>296</v>
      </c>
      <c r="C9" s="39">
        <v>12104</v>
      </c>
      <c r="D9" s="39">
        <v>109423</v>
      </c>
      <c r="E9" s="39">
        <v>121527</v>
      </c>
    </row>
    <row r="10" spans="1:5" ht="14.5" x14ac:dyDescent="0.35">
      <c r="A10" s="38" t="s">
        <v>406</v>
      </c>
      <c r="B10" s="38" t="s">
        <v>296</v>
      </c>
      <c r="C10" s="39">
        <v>13254</v>
      </c>
      <c r="D10" s="39">
        <v>102772</v>
      </c>
      <c r="E10" s="39">
        <v>116026</v>
      </c>
    </row>
    <row r="11" spans="1:5" ht="14.5" x14ac:dyDescent="0.35">
      <c r="A11" s="38" t="s">
        <v>407</v>
      </c>
      <c r="B11" s="38" t="s">
        <v>296</v>
      </c>
      <c r="C11" s="39">
        <v>207601</v>
      </c>
      <c r="D11" s="39">
        <v>141193</v>
      </c>
      <c r="E11" s="39">
        <v>348794</v>
      </c>
    </row>
    <row r="12" spans="1:5" ht="14.5" x14ac:dyDescent="0.35">
      <c r="A12" s="38" t="s">
        <v>408</v>
      </c>
      <c r="B12" s="38" t="s">
        <v>296</v>
      </c>
      <c r="C12" s="39">
        <v>254238</v>
      </c>
      <c r="D12" s="39">
        <v>399060</v>
      </c>
      <c r="E12" s="39">
        <v>653298</v>
      </c>
    </row>
    <row r="13" spans="1:5" ht="14.5" x14ac:dyDescent="0.35">
      <c r="A13" s="38" t="s">
        <v>409</v>
      </c>
      <c r="B13" s="38" t="s">
        <v>296</v>
      </c>
      <c r="C13" s="39">
        <v>226814</v>
      </c>
      <c r="D13" s="39">
        <v>264351</v>
      </c>
      <c r="E13" s="39">
        <v>491165</v>
      </c>
    </row>
    <row r="14" spans="1:5" ht="14.5" x14ac:dyDescent="0.35">
      <c r="A14" s="38" t="s">
        <v>410</v>
      </c>
      <c r="B14" s="38" t="s">
        <v>296</v>
      </c>
      <c r="C14" s="39">
        <v>102231</v>
      </c>
      <c r="D14" s="39">
        <v>211657</v>
      </c>
      <c r="E14" s="39">
        <v>313888</v>
      </c>
    </row>
    <row r="15" spans="1:5" ht="14.5" x14ac:dyDescent="0.35">
      <c r="A15" s="38" t="s">
        <v>411</v>
      </c>
      <c r="B15" s="38" t="s">
        <v>296</v>
      </c>
      <c r="C15" s="39">
        <v>112243</v>
      </c>
      <c r="D15" s="39">
        <v>373471</v>
      </c>
      <c r="E15" s="39">
        <v>485714</v>
      </c>
    </row>
    <row r="16" spans="1:5" ht="14.5" x14ac:dyDescent="0.35">
      <c r="A16" s="38" t="s">
        <v>412</v>
      </c>
      <c r="B16" s="38" t="s">
        <v>296</v>
      </c>
      <c r="C16" s="39">
        <v>143136</v>
      </c>
      <c r="D16" s="39">
        <v>234368</v>
      </c>
      <c r="E16" s="39">
        <v>377504</v>
      </c>
    </row>
    <row r="17" spans="1:5" ht="14.5" x14ac:dyDescent="0.35">
      <c r="A17" s="38" t="s">
        <v>413</v>
      </c>
      <c r="B17" s="38" t="s">
        <v>296</v>
      </c>
      <c r="C17" s="39">
        <v>32342</v>
      </c>
      <c r="D17" s="39">
        <v>78553</v>
      </c>
      <c r="E17" s="39">
        <v>110895</v>
      </c>
    </row>
    <row r="18" spans="1:5" ht="14.5" x14ac:dyDescent="0.35">
      <c r="A18" s="38" t="s">
        <v>414</v>
      </c>
      <c r="B18" s="38" t="s">
        <v>296</v>
      </c>
      <c r="C18" s="39">
        <v>4551</v>
      </c>
      <c r="D18" s="39">
        <v>7422</v>
      </c>
      <c r="E18" s="39">
        <v>11973</v>
      </c>
    </row>
    <row r="19" spans="1:5" ht="14.5" x14ac:dyDescent="0.35">
      <c r="A19" s="38" t="s">
        <v>415</v>
      </c>
      <c r="B19" s="38" t="s">
        <v>296</v>
      </c>
      <c r="C19" s="39">
        <v>609</v>
      </c>
      <c r="D19" s="39">
        <v>1109</v>
      </c>
      <c r="E19" s="39">
        <v>1718</v>
      </c>
    </row>
    <row r="20" spans="1:5" ht="14.5" x14ac:dyDescent="0.35">
      <c r="A20" s="38" t="s">
        <v>416</v>
      </c>
      <c r="B20" s="38" t="s">
        <v>296</v>
      </c>
      <c r="C20" s="39">
        <v>815169</v>
      </c>
      <c r="D20" s="39">
        <v>1653372</v>
      </c>
      <c r="E20" s="39">
        <v>2468541</v>
      </c>
    </row>
    <row r="21" spans="1:5" ht="14.5" x14ac:dyDescent="0.35">
      <c r="A21" s="38" t="s">
        <v>417</v>
      </c>
      <c r="B21" s="38" t="s">
        <v>296</v>
      </c>
      <c r="C21" s="39">
        <v>381317</v>
      </c>
      <c r="D21" s="39">
        <v>1602829</v>
      </c>
      <c r="E21" s="39">
        <v>1984146</v>
      </c>
    </row>
    <row r="22" spans="1:5" ht="14.5" x14ac:dyDescent="0.35">
      <c r="A22" s="38" t="s">
        <v>418</v>
      </c>
      <c r="B22" s="38" t="s">
        <v>296</v>
      </c>
      <c r="C22" s="39">
        <v>12448</v>
      </c>
      <c r="D22" s="39">
        <v>21531</v>
      </c>
      <c r="E22" s="39">
        <v>33979</v>
      </c>
    </row>
    <row r="23" spans="1:5" ht="14.5" x14ac:dyDescent="0.35">
      <c r="A23" s="38" t="s">
        <v>419</v>
      </c>
      <c r="B23" s="38" t="s">
        <v>296</v>
      </c>
      <c r="C23" s="39">
        <v>625</v>
      </c>
      <c r="D23" s="39">
        <v>1719</v>
      </c>
      <c r="E23" s="39">
        <v>2344</v>
      </c>
    </row>
    <row r="24" spans="1:5" ht="14.5" x14ac:dyDescent="0.35">
      <c r="A24" s="38" t="s">
        <v>420</v>
      </c>
      <c r="B24" s="38" t="s">
        <v>296</v>
      </c>
      <c r="C24" s="39">
        <v>23754</v>
      </c>
      <c r="D24" s="39">
        <v>186100</v>
      </c>
      <c r="E24" s="39">
        <v>209854</v>
      </c>
    </row>
    <row r="25" spans="1:5" ht="14.5" x14ac:dyDescent="0.35">
      <c r="A25" s="38" t="s">
        <v>421</v>
      </c>
      <c r="B25" s="38" t="s">
        <v>296</v>
      </c>
      <c r="C25" s="39">
        <v>1331</v>
      </c>
      <c r="D25" s="39">
        <v>337867</v>
      </c>
      <c r="E25" s="39">
        <v>339198</v>
      </c>
    </row>
    <row r="26" spans="1:5" ht="14.5" x14ac:dyDescent="0.35">
      <c r="A26" s="46" t="s">
        <v>304</v>
      </c>
      <c r="B26" s="46" t="s">
        <v>296</v>
      </c>
      <c r="C26" s="47">
        <v>2749842</v>
      </c>
      <c r="D26" s="47">
        <v>6344470</v>
      </c>
      <c r="E26" s="47">
        <v>9094312</v>
      </c>
    </row>
    <row r="27" spans="1:5" ht="14.5" x14ac:dyDescent="0.35">
      <c r="A27" s="38" t="s">
        <v>399</v>
      </c>
      <c r="B27" s="38" t="s">
        <v>306</v>
      </c>
      <c r="C27" s="40">
        <v>27.624600000000001</v>
      </c>
      <c r="D27" s="40">
        <v>72.375399999999999</v>
      </c>
      <c r="E27" s="40">
        <v>100</v>
      </c>
    </row>
    <row r="28" spans="1:5" ht="14.5" x14ac:dyDescent="0.35">
      <c r="A28" s="38" t="s">
        <v>400</v>
      </c>
      <c r="B28" s="38" t="s">
        <v>306</v>
      </c>
      <c r="C28" s="40">
        <v>68.7791</v>
      </c>
      <c r="D28" s="40">
        <v>31.2209</v>
      </c>
      <c r="E28" s="40">
        <v>100</v>
      </c>
    </row>
    <row r="29" spans="1:5" ht="14.5" x14ac:dyDescent="0.35">
      <c r="A29" s="38" t="s">
        <v>401</v>
      </c>
      <c r="B29" s="38" t="s">
        <v>306</v>
      </c>
      <c r="C29" s="40">
        <v>70.601100000000002</v>
      </c>
      <c r="D29" s="40">
        <v>29.398900000000001</v>
      </c>
      <c r="E29" s="40">
        <v>100</v>
      </c>
    </row>
    <row r="30" spans="1:5" ht="14.5" x14ac:dyDescent="0.35">
      <c r="A30" s="38" t="s">
        <v>402</v>
      </c>
      <c r="B30" s="38" t="s">
        <v>306</v>
      </c>
      <c r="C30" s="40">
        <v>64.0578</v>
      </c>
      <c r="D30" s="40">
        <v>35.9422</v>
      </c>
      <c r="E30" s="40">
        <v>100</v>
      </c>
    </row>
    <row r="31" spans="1:5" ht="14.5" x14ac:dyDescent="0.35">
      <c r="A31" s="38" t="s">
        <v>403</v>
      </c>
      <c r="B31" s="38" t="s">
        <v>306</v>
      </c>
      <c r="C31" s="40">
        <v>38.463999999999999</v>
      </c>
      <c r="D31" s="40">
        <v>61.536000000000001</v>
      </c>
      <c r="E31" s="40">
        <v>100</v>
      </c>
    </row>
    <row r="32" spans="1:5" ht="14.5" x14ac:dyDescent="0.35">
      <c r="A32" s="38" t="s">
        <v>404</v>
      </c>
      <c r="B32" s="38" t="s">
        <v>306</v>
      </c>
      <c r="C32" s="40">
        <v>44.0471</v>
      </c>
      <c r="D32" s="40">
        <v>55.9529</v>
      </c>
      <c r="E32" s="40">
        <v>100</v>
      </c>
    </row>
    <row r="33" spans="1:5" ht="14.5" x14ac:dyDescent="0.35">
      <c r="A33" s="38" t="s">
        <v>405</v>
      </c>
      <c r="B33" s="38" t="s">
        <v>306</v>
      </c>
      <c r="C33" s="40">
        <v>9.9598999999999993</v>
      </c>
      <c r="D33" s="40">
        <v>90.040099999999995</v>
      </c>
      <c r="E33" s="40">
        <v>100</v>
      </c>
    </row>
    <row r="34" spans="1:5" ht="14.5" x14ac:dyDescent="0.35">
      <c r="A34" s="38" t="s">
        <v>406</v>
      </c>
      <c r="B34" s="38" t="s">
        <v>306</v>
      </c>
      <c r="C34" s="40">
        <v>11.423299999999999</v>
      </c>
      <c r="D34" s="40">
        <v>88.576700000000002</v>
      </c>
      <c r="E34" s="40">
        <v>100</v>
      </c>
    </row>
    <row r="35" spans="1:5" ht="14.5" x14ac:dyDescent="0.35">
      <c r="A35" s="38" t="s">
        <v>407</v>
      </c>
      <c r="B35" s="38" t="s">
        <v>306</v>
      </c>
      <c r="C35" s="40">
        <v>59.5197</v>
      </c>
      <c r="D35" s="40">
        <v>40.4803</v>
      </c>
      <c r="E35" s="40">
        <v>100</v>
      </c>
    </row>
    <row r="36" spans="1:5" ht="14.5" x14ac:dyDescent="0.35">
      <c r="A36" s="38" t="s">
        <v>408</v>
      </c>
      <c r="B36" s="38" t="s">
        <v>306</v>
      </c>
      <c r="C36" s="40">
        <v>38.9161</v>
      </c>
      <c r="D36" s="40">
        <v>61.0839</v>
      </c>
      <c r="E36" s="40">
        <v>100</v>
      </c>
    </row>
    <row r="37" spans="1:5" ht="14.5" x14ac:dyDescent="0.35">
      <c r="A37" s="38" t="s">
        <v>409</v>
      </c>
      <c r="B37" s="38" t="s">
        <v>306</v>
      </c>
      <c r="C37" s="40">
        <v>46.178800000000003</v>
      </c>
      <c r="D37" s="40">
        <v>53.821199999999997</v>
      </c>
      <c r="E37" s="40">
        <v>100</v>
      </c>
    </row>
    <row r="38" spans="1:5" ht="14.5" x14ac:dyDescent="0.35">
      <c r="A38" s="38" t="s">
        <v>410</v>
      </c>
      <c r="B38" s="38" t="s">
        <v>306</v>
      </c>
      <c r="C38" s="40">
        <v>32.569299999999998</v>
      </c>
      <c r="D38" s="40">
        <v>67.430700000000002</v>
      </c>
      <c r="E38" s="40">
        <v>100</v>
      </c>
    </row>
    <row r="39" spans="1:5" ht="14.5" x14ac:dyDescent="0.35">
      <c r="A39" s="38" t="s">
        <v>411</v>
      </c>
      <c r="B39" s="38" t="s">
        <v>306</v>
      </c>
      <c r="C39" s="40">
        <v>23.108899999999998</v>
      </c>
      <c r="D39" s="40">
        <v>76.891099999999994</v>
      </c>
      <c r="E39" s="40">
        <v>100</v>
      </c>
    </row>
    <row r="40" spans="1:5" ht="14.5" x14ac:dyDescent="0.35">
      <c r="A40" s="38" t="s">
        <v>412</v>
      </c>
      <c r="B40" s="38" t="s">
        <v>306</v>
      </c>
      <c r="C40" s="40">
        <v>37.916400000000003</v>
      </c>
      <c r="D40" s="40">
        <v>62.083599999999997</v>
      </c>
      <c r="E40" s="40">
        <v>100</v>
      </c>
    </row>
    <row r="41" spans="1:5" ht="14.5" x14ac:dyDescent="0.35">
      <c r="A41" s="38" t="s">
        <v>413</v>
      </c>
      <c r="B41" s="38" t="s">
        <v>306</v>
      </c>
      <c r="C41" s="40">
        <v>29.1645</v>
      </c>
      <c r="D41" s="40">
        <v>70.835499999999996</v>
      </c>
      <c r="E41" s="40">
        <v>100</v>
      </c>
    </row>
    <row r="42" spans="1:5" ht="14.5" x14ac:dyDescent="0.35">
      <c r="A42" s="38" t="s">
        <v>414</v>
      </c>
      <c r="B42" s="38" t="s">
        <v>306</v>
      </c>
      <c r="C42" s="40">
        <v>38.0105</v>
      </c>
      <c r="D42" s="40">
        <v>61.9895</v>
      </c>
      <c r="E42" s="40">
        <v>100</v>
      </c>
    </row>
    <row r="43" spans="1:5" ht="14.5" x14ac:dyDescent="0.35">
      <c r="A43" s="38" t="s">
        <v>415</v>
      </c>
      <c r="B43" s="38" t="s">
        <v>306</v>
      </c>
      <c r="C43" s="40">
        <v>35.4482</v>
      </c>
      <c r="D43" s="40">
        <v>64.5518</v>
      </c>
      <c r="E43" s="40">
        <v>100</v>
      </c>
    </row>
    <row r="44" spans="1:5" ht="14.5" x14ac:dyDescent="0.35">
      <c r="A44" s="38" t="s">
        <v>416</v>
      </c>
      <c r="B44" s="38" t="s">
        <v>306</v>
      </c>
      <c r="C44" s="40">
        <v>33.022300000000001</v>
      </c>
      <c r="D44" s="40">
        <v>66.977699999999999</v>
      </c>
      <c r="E44" s="40">
        <v>100</v>
      </c>
    </row>
    <row r="45" spans="1:5" ht="14.5" x14ac:dyDescent="0.35">
      <c r="A45" s="38" t="s">
        <v>417</v>
      </c>
      <c r="B45" s="38" t="s">
        <v>306</v>
      </c>
      <c r="C45" s="40">
        <v>19.2182</v>
      </c>
      <c r="D45" s="40">
        <v>80.781800000000004</v>
      </c>
      <c r="E45" s="40">
        <v>100</v>
      </c>
    </row>
    <row r="46" spans="1:5" ht="14.5" x14ac:dyDescent="0.35">
      <c r="A46" s="38" t="s">
        <v>418</v>
      </c>
      <c r="B46" s="38" t="s">
        <v>306</v>
      </c>
      <c r="C46" s="40">
        <v>36.634399999999999</v>
      </c>
      <c r="D46" s="40">
        <v>63.365600000000001</v>
      </c>
      <c r="E46" s="40">
        <v>100</v>
      </c>
    </row>
    <row r="47" spans="1:5" ht="14.5" x14ac:dyDescent="0.35">
      <c r="A47" s="38" t="s">
        <v>419</v>
      </c>
      <c r="B47" s="38" t="s">
        <v>306</v>
      </c>
      <c r="C47" s="40">
        <v>26.663799999999998</v>
      </c>
      <c r="D47" s="40">
        <v>73.336200000000005</v>
      </c>
      <c r="E47" s="40">
        <v>100</v>
      </c>
    </row>
    <row r="48" spans="1:5" ht="14.5" x14ac:dyDescent="0.35">
      <c r="A48" s="38" t="s">
        <v>420</v>
      </c>
      <c r="B48" s="38" t="s">
        <v>306</v>
      </c>
      <c r="C48" s="40">
        <v>11.3193</v>
      </c>
      <c r="D48" s="40">
        <v>88.680700000000002</v>
      </c>
      <c r="E48" s="40">
        <v>100</v>
      </c>
    </row>
    <row r="49" spans="1:5" ht="14.5" x14ac:dyDescent="0.35">
      <c r="A49" s="38" t="s">
        <v>421</v>
      </c>
      <c r="B49" s="38" t="s">
        <v>306</v>
      </c>
      <c r="C49" s="40">
        <v>0.39240000000000003</v>
      </c>
      <c r="D49" s="40">
        <v>99.607600000000005</v>
      </c>
      <c r="E49" s="40">
        <v>100</v>
      </c>
    </row>
    <row r="50" spans="1:5" ht="14.5" x14ac:dyDescent="0.35">
      <c r="A50" s="41" t="s">
        <v>304</v>
      </c>
      <c r="B50" s="41" t="s">
        <v>306</v>
      </c>
      <c r="C50" s="43">
        <v>30.236899999999999</v>
      </c>
      <c r="D50" s="43">
        <v>69.763099999999994</v>
      </c>
      <c r="E50" s="43">
        <v>100</v>
      </c>
    </row>
    <row r="51" spans="1:5" ht="14.5" x14ac:dyDescent="0.35">
      <c r="A51" s="100" t="s">
        <v>422</v>
      </c>
      <c r="B51" s="99"/>
      <c r="C51" s="99"/>
      <c r="D51" s="99"/>
      <c r="E51" s="99"/>
    </row>
    <row r="52" spans="1:5" ht="14.5" x14ac:dyDescent="0.35">
      <c r="A52" s="100" t="s">
        <v>423</v>
      </c>
      <c r="B52" s="99"/>
      <c r="C52" s="99"/>
      <c r="D52" s="99"/>
      <c r="E52" s="99"/>
    </row>
    <row r="53" spans="1:5" ht="14.5" x14ac:dyDescent="0.35">
      <c r="A53" s="100" t="s">
        <v>431</v>
      </c>
      <c r="B53" s="99"/>
      <c r="C53" s="99"/>
      <c r="D53" s="99"/>
      <c r="E53" s="99"/>
    </row>
    <row r="54" spans="1:5" ht="14.5" x14ac:dyDescent="0.35">
      <c r="A54" s="100" t="s">
        <v>432</v>
      </c>
      <c r="B54" s="99"/>
      <c r="C54" s="99"/>
      <c r="D54" s="99"/>
      <c r="E54" s="99"/>
    </row>
    <row r="55" spans="1:5" ht="14.5" x14ac:dyDescent="0.35">
      <c r="A55" s="44"/>
      <c r="B55" s="35"/>
      <c r="C55" s="35"/>
      <c r="D55" s="35"/>
      <c r="E55" s="35"/>
    </row>
    <row r="56" spans="1:5" ht="14.5" x14ac:dyDescent="0.35">
      <c r="A56" s="35" t="s">
        <v>290</v>
      </c>
      <c r="B56" s="35"/>
      <c r="C56" s="35"/>
      <c r="D56" s="35"/>
      <c r="E56" s="35"/>
    </row>
    <row r="57" spans="1:5" ht="14.5" x14ac:dyDescent="0.35">
      <c r="A57" s="45" t="s">
        <v>291</v>
      </c>
      <c r="B57" s="35"/>
      <c r="C57" s="35"/>
      <c r="D57" s="35"/>
      <c r="E57" s="35"/>
    </row>
    <row r="58" spans="1:5" ht="14.5" x14ac:dyDescent="0.35">
      <c r="A58" s="35"/>
      <c r="B58" s="35"/>
      <c r="C58" s="35"/>
      <c r="D58" s="35"/>
      <c r="E58" s="35"/>
    </row>
    <row r="59" spans="1:5" ht="14.5" x14ac:dyDescent="0.35">
      <c r="A59" s="45" t="s">
        <v>3</v>
      </c>
      <c r="B59" s="35"/>
      <c r="C59" s="35"/>
      <c r="D59" s="35"/>
      <c r="E59" s="35"/>
    </row>
    <row r="60" spans="1:5" ht="14.5" x14ac:dyDescent="0.35">
      <c r="A60" s="35"/>
      <c r="B60" s="35"/>
      <c r="C60" s="35"/>
      <c r="D60" s="35"/>
      <c r="E60" s="35"/>
    </row>
    <row r="61" spans="1:5" ht="14.5" x14ac:dyDescent="0.35">
      <c r="A61" s="45" t="s">
        <v>292</v>
      </c>
      <c r="B61" s="35"/>
      <c r="C61" s="35"/>
      <c r="D61" s="35"/>
      <c r="E61" s="35"/>
    </row>
  </sheetData>
  <mergeCells count="5">
    <mergeCell ref="A53:E53"/>
    <mergeCell ref="A54:E54"/>
    <mergeCell ref="A52:E52"/>
    <mergeCell ref="A51:E51"/>
    <mergeCell ref="A1:E1"/>
  </mergeCells>
  <hyperlinks>
    <hyperlink ref="A57" r:id="rId1" xr:uid="{00000000-0004-0000-0F00-000000000000}"/>
    <hyperlink ref="A59" location="'Technical specifications'!A1" display="Technical specifications" xr:uid="{00000000-0004-0000-0F00-000001000000}"/>
    <hyperlink ref="A61" location="Contents!A1" display="Back to contents" xr:uid="{00000000-0004-0000-0F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36"/>
  <sheetViews>
    <sheetView workbookViewId="0">
      <selection sqref="A1:M1"/>
    </sheetView>
  </sheetViews>
  <sheetFormatPr defaultRowHeight="14.75" customHeight="1" x14ac:dyDescent="0.35"/>
  <cols>
    <col min="1" max="1" width="108" customWidth="1"/>
    <col min="2" max="13" width="8.453125" customWidth="1"/>
  </cols>
  <sheetData>
    <row r="1" spans="1:13" ht="33.75" customHeight="1" x14ac:dyDescent="0.35">
      <c r="A1" s="96" t="s">
        <v>433</v>
      </c>
      <c r="B1" s="97"/>
      <c r="C1" s="97"/>
      <c r="D1" s="97"/>
      <c r="E1" s="97"/>
      <c r="F1" s="97"/>
      <c r="G1" s="97"/>
      <c r="H1" s="97"/>
      <c r="I1" s="97"/>
      <c r="J1" s="97"/>
      <c r="K1" s="97"/>
      <c r="L1" s="97"/>
      <c r="M1" s="97"/>
    </row>
    <row r="2" spans="1:13" ht="14.5" x14ac:dyDescent="0.35">
      <c r="A2" s="36" t="s">
        <v>398</v>
      </c>
      <c r="B2" s="37" t="s">
        <v>310</v>
      </c>
      <c r="C2" s="37" t="s">
        <v>311</v>
      </c>
      <c r="D2" s="37" t="s">
        <v>312</v>
      </c>
      <c r="E2" s="37" t="s">
        <v>313</v>
      </c>
      <c r="F2" s="37" t="s">
        <v>314</v>
      </c>
      <c r="G2" s="37" t="s">
        <v>315</v>
      </c>
      <c r="H2" s="37" t="s">
        <v>316</v>
      </c>
      <c r="I2" s="37" t="s">
        <v>317</v>
      </c>
      <c r="J2" s="37" t="s">
        <v>318</v>
      </c>
      <c r="K2" s="37" t="s">
        <v>434</v>
      </c>
      <c r="L2" s="37" t="s">
        <v>321</v>
      </c>
      <c r="M2" s="57" t="s">
        <v>1275</v>
      </c>
    </row>
    <row r="3" spans="1:13" ht="14.5" x14ac:dyDescent="0.35">
      <c r="A3" s="38" t="s">
        <v>399</v>
      </c>
      <c r="B3" s="39">
        <v>129158</v>
      </c>
      <c r="C3" s="39">
        <v>50115</v>
      </c>
      <c r="D3" s="39">
        <v>36843</v>
      </c>
      <c r="E3" s="39">
        <v>39369</v>
      </c>
      <c r="F3" s="39">
        <v>30332</v>
      </c>
      <c r="G3" s="39">
        <v>24092</v>
      </c>
      <c r="H3" s="39">
        <v>25316</v>
      </c>
      <c r="I3" s="39">
        <v>26067</v>
      </c>
      <c r="J3" s="39">
        <v>25050</v>
      </c>
      <c r="K3" s="39">
        <v>12796</v>
      </c>
      <c r="L3" s="39">
        <v>1365</v>
      </c>
      <c r="M3" s="39">
        <v>400506</v>
      </c>
    </row>
    <row r="4" spans="1:13" ht="14.5" x14ac:dyDescent="0.35">
      <c r="A4" s="38" t="s">
        <v>400</v>
      </c>
      <c r="B4" s="39">
        <v>414</v>
      </c>
      <c r="C4" s="39">
        <v>347</v>
      </c>
      <c r="D4" s="39">
        <v>500</v>
      </c>
      <c r="E4" s="39">
        <v>956</v>
      </c>
      <c r="F4" s="39">
        <v>1771</v>
      </c>
      <c r="G4" s="39">
        <v>3017</v>
      </c>
      <c r="H4" s="39">
        <v>5426</v>
      </c>
      <c r="I4" s="39">
        <v>7142</v>
      </c>
      <c r="J4" s="39">
        <v>6179</v>
      </c>
      <c r="K4" s="39">
        <v>2277</v>
      </c>
      <c r="L4" s="39">
        <v>153</v>
      </c>
      <c r="M4" s="39">
        <v>28183</v>
      </c>
    </row>
    <row r="5" spans="1:13" ht="14.5" x14ac:dyDescent="0.35">
      <c r="A5" s="38" t="s">
        <v>401</v>
      </c>
      <c r="B5" s="39">
        <v>2097</v>
      </c>
      <c r="C5" s="39">
        <v>2450</v>
      </c>
      <c r="D5" s="39">
        <v>2347</v>
      </c>
      <c r="E5" s="39">
        <v>2791</v>
      </c>
      <c r="F5" s="39">
        <v>3836</v>
      </c>
      <c r="G5" s="39">
        <v>3923</v>
      </c>
      <c r="H5" s="39">
        <v>4493</v>
      </c>
      <c r="I5" s="39">
        <v>7385</v>
      </c>
      <c r="J5" s="39">
        <v>9341</v>
      </c>
      <c r="K5" s="39">
        <v>5386</v>
      </c>
      <c r="L5" s="39">
        <v>616</v>
      </c>
      <c r="M5" s="39">
        <v>44665</v>
      </c>
    </row>
    <row r="6" spans="1:13" ht="14.5" x14ac:dyDescent="0.35">
      <c r="A6" s="38" t="s">
        <v>402</v>
      </c>
      <c r="B6" s="39">
        <v>8491</v>
      </c>
      <c r="C6" s="39">
        <v>4923</v>
      </c>
      <c r="D6" s="39">
        <v>7277</v>
      </c>
      <c r="E6" s="39">
        <v>8272</v>
      </c>
      <c r="F6" s="39">
        <v>8650</v>
      </c>
      <c r="G6" s="39">
        <v>10322</v>
      </c>
      <c r="H6" s="39">
        <v>12440</v>
      </c>
      <c r="I6" s="39">
        <v>14089</v>
      </c>
      <c r="J6" s="39">
        <v>15162</v>
      </c>
      <c r="K6" s="39">
        <v>8647</v>
      </c>
      <c r="L6" s="39">
        <v>927</v>
      </c>
      <c r="M6" s="39">
        <v>99201</v>
      </c>
    </row>
    <row r="7" spans="1:13" ht="14.5" x14ac:dyDescent="0.35">
      <c r="A7" s="38" t="s">
        <v>403</v>
      </c>
      <c r="B7" s="39">
        <v>869</v>
      </c>
      <c r="C7" s="39">
        <v>11114</v>
      </c>
      <c r="D7" s="39">
        <v>56837</v>
      </c>
      <c r="E7" s="39">
        <v>64994</v>
      </c>
      <c r="F7" s="39">
        <v>61356</v>
      </c>
      <c r="G7" s="39">
        <v>47213</v>
      </c>
      <c r="H7" s="39">
        <v>28115</v>
      </c>
      <c r="I7" s="39">
        <v>15790</v>
      </c>
      <c r="J7" s="39">
        <v>17529</v>
      </c>
      <c r="K7" s="39">
        <v>12438</v>
      </c>
      <c r="L7" s="39">
        <v>1790</v>
      </c>
      <c r="M7" s="39">
        <v>318183</v>
      </c>
    </row>
    <row r="8" spans="1:13" ht="14.5" x14ac:dyDescent="0.35">
      <c r="A8" s="38" t="s">
        <v>404</v>
      </c>
      <c r="B8" s="39">
        <v>3989</v>
      </c>
      <c r="C8" s="39">
        <v>6927</v>
      </c>
      <c r="D8" s="39">
        <v>14693</v>
      </c>
      <c r="E8" s="39">
        <v>20104</v>
      </c>
      <c r="F8" s="39">
        <v>19120</v>
      </c>
      <c r="G8" s="39">
        <v>17423</v>
      </c>
      <c r="H8" s="39">
        <v>16021</v>
      </c>
      <c r="I8" s="39">
        <v>14915</v>
      </c>
      <c r="J8" s="39">
        <v>13439</v>
      </c>
      <c r="K8" s="39">
        <v>5883</v>
      </c>
      <c r="L8" s="39">
        <v>490</v>
      </c>
      <c r="M8" s="39">
        <v>133010</v>
      </c>
    </row>
    <row r="9" spans="1:13" ht="14.5" x14ac:dyDescent="0.35">
      <c r="A9" s="38" t="s">
        <v>405</v>
      </c>
      <c r="B9" s="39">
        <v>7382</v>
      </c>
      <c r="C9" s="39">
        <v>7550</v>
      </c>
      <c r="D9" s="39">
        <v>10520</v>
      </c>
      <c r="E9" s="39">
        <v>14984</v>
      </c>
      <c r="F9" s="39">
        <v>15664</v>
      </c>
      <c r="G9" s="39">
        <v>15771</v>
      </c>
      <c r="H9" s="39">
        <v>19345</v>
      </c>
      <c r="I9" s="39">
        <v>16429</v>
      </c>
      <c r="J9" s="39">
        <v>10201</v>
      </c>
      <c r="K9" s="39">
        <v>3408</v>
      </c>
      <c r="L9" s="39">
        <v>272</v>
      </c>
      <c r="M9" s="39">
        <v>121527</v>
      </c>
    </row>
    <row r="10" spans="1:13" ht="14.5" x14ac:dyDescent="0.35">
      <c r="A10" s="38" t="s">
        <v>406</v>
      </c>
      <c r="B10" s="39">
        <v>16776</v>
      </c>
      <c r="C10" s="39">
        <v>18983</v>
      </c>
      <c r="D10" s="39">
        <v>11883</v>
      </c>
      <c r="E10" s="39">
        <v>13357</v>
      </c>
      <c r="F10" s="39">
        <v>13014</v>
      </c>
      <c r="G10" s="39">
        <v>11354</v>
      </c>
      <c r="H10" s="39">
        <v>11241</v>
      </c>
      <c r="I10" s="39">
        <v>9928</v>
      </c>
      <c r="J10" s="39">
        <v>6907</v>
      </c>
      <c r="K10" s="39">
        <v>2412</v>
      </c>
      <c r="L10" s="39">
        <v>170</v>
      </c>
      <c r="M10" s="39">
        <v>116026</v>
      </c>
    </row>
    <row r="11" spans="1:13" ht="14.5" x14ac:dyDescent="0.35">
      <c r="A11" s="38" t="s">
        <v>407</v>
      </c>
      <c r="B11" s="39">
        <v>2651</v>
      </c>
      <c r="C11" s="39">
        <v>6821</v>
      </c>
      <c r="D11" s="39">
        <v>7309</v>
      </c>
      <c r="E11" s="39">
        <v>13649</v>
      </c>
      <c r="F11" s="39">
        <v>22395</v>
      </c>
      <c r="G11" s="39">
        <v>36595</v>
      </c>
      <c r="H11" s="39">
        <v>55978</v>
      </c>
      <c r="I11" s="39">
        <v>73524</v>
      </c>
      <c r="J11" s="39">
        <v>81331</v>
      </c>
      <c r="K11" s="39">
        <v>43890</v>
      </c>
      <c r="L11" s="39">
        <v>4644</v>
      </c>
      <c r="M11" s="39">
        <v>348794</v>
      </c>
    </row>
    <row r="12" spans="1:13" ht="14.5" x14ac:dyDescent="0.35">
      <c r="A12" s="38" t="s">
        <v>408</v>
      </c>
      <c r="B12" s="39">
        <v>174631</v>
      </c>
      <c r="C12" s="39">
        <v>77175</v>
      </c>
      <c r="D12" s="39">
        <v>49579</v>
      </c>
      <c r="E12" s="39">
        <v>46637</v>
      </c>
      <c r="F12" s="39">
        <v>43085</v>
      </c>
      <c r="G12" s="39">
        <v>41060</v>
      </c>
      <c r="H12" s="39">
        <v>53111</v>
      </c>
      <c r="I12" s="39">
        <v>63196</v>
      </c>
      <c r="J12" s="39">
        <v>64642</v>
      </c>
      <c r="K12" s="39">
        <v>35589</v>
      </c>
      <c r="L12" s="39">
        <v>4589</v>
      </c>
      <c r="M12" s="39">
        <v>653298</v>
      </c>
    </row>
    <row r="13" spans="1:13" ht="14.5" x14ac:dyDescent="0.35">
      <c r="A13" s="38" t="s">
        <v>409</v>
      </c>
      <c r="B13" s="39">
        <v>25076</v>
      </c>
      <c r="C13" s="39">
        <v>27454</v>
      </c>
      <c r="D13" s="39">
        <v>44253</v>
      </c>
      <c r="E13" s="39">
        <v>68227</v>
      </c>
      <c r="F13" s="39">
        <v>65563</v>
      </c>
      <c r="G13" s="39">
        <v>61550</v>
      </c>
      <c r="H13" s="39">
        <v>59514</v>
      </c>
      <c r="I13" s="39">
        <v>56635</v>
      </c>
      <c r="J13" s="39">
        <v>53767</v>
      </c>
      <c r="K13" s="39">
        <v>26483</v>
      </c>
      <c r="L13" s="39">
        <v>2641</v>
      </c>
      <c r="M13" s="39">
        <v>491165</v>
      </c>
    </row>
    <row r="14" spans="1:13" ht="14.5" x14ac:dyDescent="0.35">
      <c r="A14" s="38" t="s">
        <v>410</v>
      </c>
      <c r="B14" s="39">
        <v>30467</v>
      </c>
      <c r="C14" s="39">
        <v>28648</v>
      </c>
      <c r="D14" s="39">
        <v>35492</v>
      </c>
      <c r="E14" s="39">
        <v>40159</v>
      </c>
      <c r="F14" s="39">
        <v>40377</v>
      </c>
      <c r="G14" s="39">
        <v>37036</v>
      </c>
      <c r="H14" s="39">
        <v>33285</v>
      </c>
      <c r="I14" s="39">
        <v>29412</v>
      </c>
      <c r="J14" s="39">
        <v>25144</v>
      </c>
      <c r="K14" s="39">
        <v>12529</v>
      </c>
      <c r="L14" s="39">
        <v>1339</v>
      </c>
      <c r="M14" s="39">
        <v>313888</v>
      </c>
    </row>
    <row r="15" spans="1:13" ht="14.5" x14ac:dyDescent="0.35">
      <c r="A15" s="38" t="s">
        <v>411</v>
      </c>
      <c r="B15" s="39">
        <v>11062</v>
      </c>
      <c r="C15" s="39">
        <v>38132</v>
      </c>
      <c r="D15" s="39">
        <v>49582</v>
      </c>
      <c r="E15" s="39">
        <v>61383</v>
      </c>
      <c r="F15" s="39">
        <v>66823</v>
      </c>
      <c r="G15" s="39">
        <v>67047</v>
      </c>
      <c r="H15" s="39">
        <v>63470</v>
      </c>
      <c r="I15" s="39">
        <v>55494</v>
      </c>
      <c r="J15" s="39">
        <v>49268</v>
      </c>
      <c r="K15" s="39">
        <v>21472</v>
      </c>
      <c r="L15" s="39">
        <v>1979</v>
      </c>
      <c r="M15" s="39">
        <v>485714</v>
      </c>
    </row>
    <row r="16" spans="1:13" ht="14.5" x14ac:dyDescent="0.35">
      <c r="A16" s="38" t="s">
        <v>412</v>
      </c>
      <c r="B16" s="39">
        <v>16156</v>
      </c>
      <c r="C16" s="39">
        <v>18688</v>
      </c>
      <c r="D16" s="39">
        <v>50641</v>
      </c>
      <c r="E16" s="39">
        <v>70733</v>
      </c>
      <c r="F16" s="39">
        <v>54785</v>
      </c>
      <c r="G16" s="39">
        <v>39181</v>
      </c>
      <c r="H16" s="39">
        <v>34578</v>
      </c>
      <c r="I16" s="39">
        <v>35445</v>
      </c>
      <c r="J16" s="39">
        <v>35942</v>
      </c>
      <c r="K16" s="39">
        <v>19187</v>
      </c>
      <c r="L16" s="39">
        <v>2167</v>
      </c>
      <c r="M16" s="39">
        <v>377504</v>
      </c>
    </row>
    <row r="17" spans="1:13" ht="14.5" x14ac:dyDescent="0.35">
      <c r="A17" s="38" t="s">
        <v>413</v>
      </c>
      <c r="B17" s="39">
        <v>171</v>
      </c>
      <c r="C17" s="39">
        <v>86</v>
      </c>
      <c r="D17" s="39">
        <v>18669</v>
      </c>
      <c r="E17" s="39">
        <v>63419</v>
      </c>
      <c r="F17" s="39">
        <v>27698</v>
      </c>
      <c r="G17" s="39">
        <v>658</v>
      </c>
      <c r="H17" s="39">
        <v>60</v>
      </c>
      <c r="I17" s="39">
        <v>58</v>
      </c>
      <c r="J17" s="39">
        <v>59</v>
      </c>
      <c r="K17" s="39">
        <v>17</v>
      </c>
      <c r="L17" s="39">
        <v>0</v>
      </c>
      <c r="M17" s="39">
        <v>110895</v>
      </c>
    </row>
    <row r="18" spans="1:13" ht="14.5" x14ac:dyDescent="0.35">
      <c r="A18" s="38" t="s">
        <v>414</v>
      </c>
      <c r="B18" s="39">
        <v>11470</v>
      </c>
      <c r="C18" s="39">
        <v>22</v>
      </c>
      <c r="D18" s="39">
        <v>139</v>
      </c>
      <c r="E18" s="39">
        <v>218</v>
      </c>
      <c r="F18" s="39">
        <v>75</v>
      </c>
      <c r="G18" s="39">
        <v>5</v>
      </c>
      <c r="H18" s="39">
        <v>12</v>
      </c>
      <c r="I18" s="39">
        <v>17</v>
      </c>
      <c r="J18" s="39">
        <v>11</v>
      </c>
      <c r="K18" s="39">
        <v>4</v>
      </c>
      <c r="L18" s="39">
        <v>0</v>
      </c>
      <c r="M18" s="39">
        <v>11973</v>
      </c>
    </row>
    <row r="19" spans="1:13" ht="14.5" x14ac:dyDescent="0.35">
      <c r="A19" s="38" t="s">
        <v>415</v>
      </c>
      <c r="B19" s="39">
        <v>763</v>
      </c>
      <c r="C19" s="39">
        <v>169</v>
      </c>
      <c r="D19" s="39">
        <v>123</v>
      </c>
      <c r="E19" s="39">
        <v>135</v>
      </c>
      <c r="F19" s="39">
        <v>140</v>
      </c>
      <c r="G19" s="39">
        <v>88</v>
      </c>
      <c r="H19" s="39">
        <v>105</v>
      </c>
      <c r="I19" s="39">
        <v>83</v>
      </c>
      <c r="J19" s="39">
        <v>74</v>
      </c>
      <c r="K19" s="39">
        <v>34</v>
      </c>
      <c r="L19" s="39">
        <v>4</v>
      </c>
      <c r="M19" s="39">
        <v>1718</v>
      </c>
    </row>
    <row r="20" spans="1:13" ht="14.5" x14ac:dyDescent="0.35">
      <c r="A20" s="38" t="s">
        <v>416</v>
      </c>
      <c r="B20" s="39">
        <v>213270</v>
      </c>
      <c r="C20" s="39">
        <v>173547</v>
      </c>
      <c r="D20" s="39">
        <v>284898</v>
      </c>
      <c r="E20" s="39">
        <v>324639</v>
      </c>
      <c r="F20" s="39">
        <v>290123</v>
      </c>
      <c r="G20" s="39">
        <v>262472</v>
      </c>
      <c r="H20" s="39">
        <v>257278</v>
      </c>
      <c r="I20" s="39">
        <v>253954</v>
      </c>
      <c r="J20" s="39">
        <v>256313</v>
      </c>
      <c r="K20" s="39">
        <v>136929</v>
      </c>
      <c r="L20" s="39">
        <v>15017</v>
      </c>
      <c r="M20" s="39">
        <v>2468541</v>
      </c>
    </row>
    <row r="21" spans="1:13" ht="14.5" x14ac:dyDescent="0.35">
      <c r="A21" s="38" t="s">
        <v>417</v>
      </c>
      <c r="B21" s="39">
        <v>188600</v>
      </c>
      <c r="C21" s="39">
        <v>331606</v>
      </c>
      <c r="D21" s="39">
        <v>309001</v>
      </c>
      <c r="E21" s="39">
        <v>254833</v>
      </c>
      <c r="F21" s="39">
        <v>209001</v>
      </c>
      <c r="G21" s="39">
        <v>179716</v>
      </c>
      <c r="H21" s="39">
        <v>164232</v>
      </c>
      <c r="I21" s="39">
        <v>141075</v>
      </c>
      <c r="J21" s="39">
        <v>125732</v>
      </c>
      <c r="K21" s="39">
        <v>70913</v>
      </c>
      <c r="L21" s="39">
        <v>9337</v>
      </c>
      <c r="M21" s="39">
        <v>1984146</v>
      </c>
    </row>
    <row r="22" spans="1:13" ht="14.5" x14ac:dyDescent="0.35">
      <c r="A22" s="38" t="s">
        <v>418</v>
      </c>
      <c r="B22" s="39">
        <v>4799</v>
      </c>
      <c r="C22" s="39">
        <v>815</v>
      </c>
      <c r="D22" s="39">
        <v>1772</v>
      </c>
      <c r="E22" s="39">
        <v>2395</v>
      </c>
      <c r="F22" s="39">
        <v>2299</v>
      </c>
      <c r="G22" s="39">
        <v>2543</v>
      </c>
      <c r="H22" s="39">
        <v>3139</v>
      </c>
      <c r="I22" s="39">
        <v>4788</v>
      </c>
      <c r="J22" s="39">
        <v>6748</v>
      </c>
      <c r="K22" s="39">
        <v>4180</v>
      </c>
      <c r="L22" s="39">
        <v>501</v>
      </c>
      <c r="M22" s="39">
        <v>33979</v>
      </c>
    </row>
    <row r="23" spans="1:13" ht="14.5" x14ac:dyDescent="0.35">
      <c r="A23" s="38" t="s">
        <v>419</v>
      </c>
      <c r="B23" s="39">
        <v>132</v>
      </c>
      <c r="C23" s="39">
        <v>136</v>
      </c>
      <c r="D23" s="39">
        <v>355</v>
      </c>
      <c r="E23" s="39">
        <v>345</v>
      </c>
      <c r="F23" s="39">
        <v>295</v>
      </c>
      <c r="G23" s="39">
        <v>237</v>
      </c>
      <c r="H23" s="39">
        <v>211</v>
      </c>
      <c r="I23" s="39">
        <v>231</v>
      </c>
      <c r="J23" s="39">
        <v>220</v>
      </c>
      <c r="K23" s="39">
        <v>162</v>
      </c>
      <c r="L23" s="39">
        <v>20</v>
      </c>
      <c r="M23" s="39">
        <v>2344</v>
      </c>
    </row>
    <row r="24" spans="1:13" ht="14.5" x14ac:dyDescent="0.35">
      <c r="A24" s="38" t="s">
        <v>420</v>
      </c>
      <c r="B24" s="39">
        <v>15292</v>
      </c>
      <c r="C24" s="39">
        <v>15246</v>
      </c>
      <c r="D24" s="39">
        <v>28075</v>
      </c>
      <c r="E24" s="39">
        <v>31768</v>
      </c>
      <c r="F24" s="39">
        <v>27075</v>
      </c>
      <c r="G24" s="39">
        <v>24042</v>
      </c>
      <c r="H24" s="39">
        <v>22506</v>
      </c>
      <c r="I24" s="39">
        <v>19439</v>
      </c>
      <c r="J24" s="39">
        <v>17463</v>
      </c>
      <c r="K24" s="39">
        <v>8132</v>
      </c>
      <c r="L24" s="39">
        <v>804</v>
      </c>
      <c r="M24" s="39">
        <v>209854</v>
      </c>
    </row>
    <row r="25" spans="1:13" ht="14.5" x14ac:dyDescent="0.35">
      <c r="A25" s="38" t="s">
        <v>421</v>
      </c>
      <c r="B25" s="39">
        <v>29394</v>
      </c>
      <c r="C25" s="39">
        <v>24268</v>
      </c>
      <c r="D25" s="39">
        <v>59384</v>
      </c>
      <c r="E25" s="39">
        <v>66519</v>
      </c>
      <c r="F25" s="39">
        <v>54797</v>
      </c>
      <c r="G25" s="39">
        <v>41439</v>
      </c>
      <c r="H25" s="39">
        <v>28612</v>
      </c>
      <c r="I25" s="39">
        <v>18226</v>
      </c>
      <c r="J25" s="39">
        <v>12172</v>
      </c>
      <c r="K25" s="39">
        <v>4081</v>
      </c>
      <c r="L25" s="39">
        <v>281</v>
      </c>
      <c r="M25" s="39">
        <v>339198</v>
      </c>
    </row>
    <row r="26" spans="1:13" ht="14.5" x14ac:dyDescent="0.35">
      <c r="A26" s="41" t="s">
        <v>304</v>
      </c>
      <c r="B26" s="42">
        <v>893110</v>
      </c>
      <c r="C26" s="42">
        <v>845222</v>
      </c>
      <c r="D26" s="42">
        <v>1080172</v>
      </c>
      <c r="E26" s="42">
        <v>1209886</v>
      </c>
      <c r="F26" s="42">
        <v>1058274</v>
      </c>
      <c r="G26" s="42">
        <v>926784</v>
      </c>
      <c r="H26" s="42">
        <v>898488</v>
      </c>
      <c r="I26" s="42">
        <v>863322</v>
      </c>
      <c r="J26" s="42">
        <v>832694</v>
      </c>
      <c r="K26" s="42">
        <v>436849</v>
      </c>
      <c r="L26" s="42">
        <v>49106</v>
      </c>
      <c r="M26" s="42">
        <v>9094312</v>
      </c>
    </row>
    <row r="27" spans="1:13" ht="14.5" x14ac:dyDescent="0.35">
      <c r="A27" s="100" t="s">
        <v>422</v>
      </c>
      <c r="B27" s="99"/>
      <c r="C27" s="99"/>
      <c r="D27" s="99"/>
      <c r="E27" s="99"/>
      <c r="F27" s="99"/>
      <c r="G27" s="99"/>
      <c r="H27" s="99"/>
      <c r="I27" s="99"/>
      <c r="J27" s="99"/>
      <c r="K27" s="99"/>
      <c r="L27" s="99"/>
      <c r="M27" s="99"/>
    </row>
    <row r="28" spans="1:13" ht="14.5" x14ac:dyDescent="0.35">
      <c r="A28" s="100" t="s">
        <v>423</v>
      </c>
      <c r="B28" s="99"/>
      <c r="C28" s="99"/>
      <c r="D28" s="99"/>
      <c r="E28" s="99"/>
      <c r="F28" s="99"/>
      <c r="G28" s="99"/>
      <c r="H28" s="99"/>
      <c r="I28" s="99"/>
      <c r="J28" s="99"/>
      <c r="K28" s="99"/>
      <c r="L28" s="99"/>
      <c r="M28" s="99"/>
    </row>
    <row r="29" spans="1:13" ht="14.5" x14ac:dyDescent="0.35">
      <c r="A29" s="100" t="s">
        <v>435</v>
      </c>
      <c r="B29" s="99"/>
      <c r="C29" s="99"/>
      <c r="D29" s="99"/>
      <c r="E29" s="99"/>
      <c r="F29" s="99"/>
      <c r="G29" s="99"/>
      <c r="H29" s="99"/>
      <c r="I29" s="99"/>
      <c r="J29" s="99"/>
      <c r="K29" s="99"/>
      <c r="L29" s="99"/>
      <c r="M29" s="99"/>
    </row>
    <row r="30" spans="1:13" ht="14.5" x14ac:dyDescent="0.35">
      <c r="A30" s="44"/>
      <c r="B30" s="35"/>
      <c r="C30" s="35"/>
      <c r="D30" s="35"/>
      <c r="E30" s="35"/>
      <c r="F30" s="35"/>
      <c r="G30" s="35"/>
      <c r="H30" s="35"/>
      <c r="I30" s="35"/>
      <c r="J30" s="35"/>
      <c r="K30" s="35"/>
      <c r="L30" s="35"/>
      <c r="M30" s="35"/>
    </row>
    <row r="31" spans="1:13" ht="14.5" x14ac:dyDescent="0.35">
      <c r="A31" s="35" t="s">
        <v>290</v>
      </c>
      <c r="B31" s="35"/>
      <c r="C31" s="35"/>
      <c r="D31" s="35"/>
      <c r="E31" s="35"/>
      <c r="F31" s="35"/>
      <c r="G31" s="35"/>
      <c r="H31" s="35"/>
      <c r="I31" s="35"/>
      <c r="J31" s="35"/>
      <c r="K31" s="35"/>
      <c r="L31" s="35"/>
      <c r="M31" s="35"/>
    </row>
    <row r="32" spans="1:13" ht="14.5" x14ac:dyDescent="0.35">
      <c r="A32" s="45" t="s">
        <v>291</v>
      </c>
      <c r="B32" s="35"/>
      <c r="C32" s="35"/>
      <c r="D32" s="35"/>
      <c r="E32" s="35"/>
      <c r="F32" s="35"/>
      <c r="G32" s="35"/>
      <c r="H32" s="35"/>
      <c r="I32" s="35"/>
      <c r="J32" s="35"/>
      <c r="K32" s="35"/>
      <c r="L32" s="35"/>
      <c r="M32" s="35"/>
    </row>
    <row r="33" spans="1:13" ht="14.5" x14ac:dyDescent="0.35">
      <c r="A33" s="35"/>
      <c r="B33" s="35"/>
      <c r="C33" s="35"/>
      <c r="D33" s="35"/>
      <c r="E33" s="35"/>
      <c r="F33" s="35"/>
      <c r="G33" s="35"/>
      <c r="H33" s="35"/>
      <c r="I33" s="35"/>
      <c r="J33" s="35"/>
      <c r="K33" s="35"/>
      <c r="L33" s="35"/>
      <c r="M33" s="35"/>
    </row>
    <row r="34" spans="1:13" ht="14.5" x14ac:dyDescent="0.35">
      <c r="A34" s="45" t="s">
        <v>3</v>
      </c>
      <c r="B34" s="35"/>
      <c r="C34" s="35"/>
      <c r="D34" s="35"/>
      <c r="E34" s="35"/>
      <c r="F34" s="35"/>
      <c r="G34" s="35"/>
      <c r="H34" s="35"/>
      <c r="I34" s="35"/>
      <c r="J34" s="35"/>
      <c r="K34" s="35"/>
      <c r="L34" s="35"/>
      <c r="M34" s="35"/>
    </row>
    <row r="35" spans="1:13" ht="14.5" x14ac:dyDescent="0.35">
      <c r="A35" s="35"/>
      <c r="B35" s="35"/>
      <c r="C35" s="35"/>
      <c r="D35" s="35"/>
      <c r="E35" s="35"/>
      <c r="F35" s="35"/>
      <c r="G35" s="35"/>
      <c r="H35" s="35"/>
      <c r="I35" s="35"/>
      <c r="J35" s="35"/>
      <c r="K35" s="35"/>
      <c r="L35" s="35"/>
      <c r="M35" s="35"/>
    </row>
    <row r="36" spans="1:13" ht="14.5" x14ac:dyDescent="0.35">
      <c r="A36" s="45" t="s">
        <v>292</v>
      </c>
      <c r="B36" s="35"/>
      <c r="C36" s="35"/>
      <c r="D36" s="35"/>
      <c r="E36" s="35"/>
      <c r="F36" s="35"/>
      <c r="G36" s="35"/>
      <c r="H36" s="35"/>
      <c r="I36" s="35"/>
      <c r="J36" s="35"/>
      <c r="K36" s="35"/>
      <c r="L36" s="35"/>
      <c r="M36" s="35"/>
    </row>
  </sheetData>
  <mergeCells count="4">
    <mergeCell ref="A29:M29"/>
    <mergeCell ref="A27:M27"/>
    <mergeCell ref="A1:M1"/>
    <mergeCell ref="A28:M28"/>
  </mergeCells>
  <hyperlinks>
    <hyperlink ref="A32" r:id="rId1" xr:uid="{00000000-0004-0000-1000-000000000000}"/>
    <hyperlink ref="A34" location="'Technical specifications'!A1" display="Technical specifications" xr:uid="{00000000-0004-0000-1000-000001000000}"/>
    <hyperlink ref="A36" location="Contents!A1" display="Back to contents" xr:uid="{00000000-0004-0000-10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J33"/>
  <sheetViews>
    <sheetView workbookViewId="0">
      <selection sqref="A1:J1"/>
    </sheetView>
  </sheetViews>
  <sheetFormatPr defaultRowHeight="14.75" customHeight="1" x14ac:dyDescent="0.35"/>
  <cols>
    <col min="1" max="1" width="75" customWidth="1"/>
    <col min="2" max="10" width="8.453125" customWidth="1"/>
  </cols>
  <sheetData>
    <row r="1" spans="1:10" ht="33.75" customHeight="1" x14ac:dyDescent="0.35">
      <c r="A1" s="96" t="s">
        <v>436</v>
      </c>
      <c r="B1" s="97"/>
      <c r="C1" s="97"/>
      <c r="D1" s="97"/>
      <c r="E1" s="97"/>
      <c r="F1" s="97"/>
      <c r="G1" s="97"/>
      <c r="H1" s="97"/>
      <c r="I1" s="97"/>
      <c r="J1" s="97"/>
    </row>
    <row r="2" spans="1:10" ht="14.5" x14ac:dyDescent="0.35">
      <c r="A2" s="36" t="s">
        <v>398</v>
      </c>
      <c r="B2" s="37" t="s">
        <v>295</v>
      </c>
      <c r="C2" s="37" t="s">
        <v>297</v>
      </c>
      <c r="D2" s="37" t="s">
        <v>298</v>
      </c>
      <c r="E2" s="37" t="s">
        <v>299</v>
      </c>
      <c r="F2" s="37" t="s">
        <v>300</v>
      </c>
      <c r="G2" s="37" t="s">
        <v>301</v>
      </c>
      <c r="H2" s="37" t="s">
        <v>302</v>
      </c>
      <c r="I2" s="37" t="s">
        <v>303</v>
      </c>
      <c r="J2" s="37" t="s">
        <v>304</v>
      </c>
    </row>
    <row r="3" spans="1:10" ht="14.5" x14ac:dyDescent="0.35">
      <c r="A3" s="38" t="s">
        <v>437</v>
      </c>
      <c r="B3" s="39">
        <v>155163</v>
      </c>
      <c r="C3" s="39">
        <v>110782</v>
      </c>
      <c r="D3" s="39">
        <v>83426</v>
      </c>
      <c r="E3" s="39">
        <v>37360</v>
      </c>
      <c r="F3" s="39">
        <v>27294</v>
      </c>
      <c r="G3" s="39">
        <v>8412</v>
      </c>
      <c r="H3" s="39">
        <v>10123</v>
      </c>
      <c r="I3" s="39">
        <v>6518</v>
      </c>
      <c r="J3" s="39">
        <v>439078</v>
      </c>
    </row>
    <row r="4" spans="1:10" ht="14.5" x14ac:dyDescent="0.35">
      <c r="A4" s="38" t="s">
        <v>438</v>
      </c>
      <c r="B4" s="39">
        <v>142661</v>
      </c>
      <c r="C4" s="39">
        <v>108508</v>
      </c>
      <c r="D4" s="39">
        <v>85241</v>
      </c>
      <c r="E4" s="39">
        <v>40933</v>
      </c>
      <c r="F4" s="39">
        <v>25766</v>
      </c>
      <c r="G4" s="39">
        <v>10107</v>
      </c>
      <c r="H4" s="39">
        <v>9184</v>
      </c>
      <c r="I4" s="39">
        <v>7794</v>
      </c>
      <c r="J4" s="39">
        <v>430194</v>
      </c>
    </row>
    <row r="5" spans="1:10" ht="14.5" x14ac:dyDescent="0.35">
      <c r="A5" s="38" t="s">
        <v>439</v>
      </c>
      <c r="B5" s="39">
        <v>182306</v>
      </c>
      <c r="C5" s="39">
        <v>50310</v>
      </c>
      <c r="D5" s="39">
        <v>7403</v>
      </c>
      <c r="E5" s="39">
        <v>1410</v>
      </c>
      <c r="F5" s="39">
        <v>49778</v>
      </c>
      <c r="G5" s="39">
        <v>8431</v>
      </c>
      <c r="H5" s="39">
        <v>1176</v>
      </c>
      <c r="I5" s="39">
        <v>396</v>
      </c>
      <c r="J5" s="39">
        <v>301210</v>
      </c>
    </row>
    <row r="6" spans="1:10" ht="14.5" x14ac:dyDescent="0.35">
      <c r="A6" s="38" t="s">
        <v>440</v>
      </c>
      <c r="B6" s="39">
        <v>93369</v>
      </c>
      <c r="C6" s="39">
        <v>6905</v>
      </c>
      <c r="D6" s="39">
        <v>31766</v>
      </c>
      <c r="E6" s="39">
        <v>12054</v>
      </c>
      <c r="F6" s="39">
        <v>17128</v>
      </c>
      <c r="G6" s="39">
        <v>106</v>
      </c>
      <c r="H6" s="39">
        <v>1276</v>
      </c>
      <c r="I6" s="39">
        <v>2373</v>
      </c>
      <c r="J6" s="39">
        <v>164977</v>
      </c>
    </row>
    <row r="7" spans="1:10" ht="14.5" x14ac:dyDescent="0.35">
      <c r="A7" s="38" t="s">
        <v>441</v>
      </c>
      <c r="B7" s="39">
        <v>58542</v>
      </c>
      <c r="C7" s="39">
        <v>37550</v>
      </c>
      <c r="D7" s="39">
        <v>30648</v>
      </c>
      <c r="E7" s="39">
        <v>12519</v>
      </c>
      <c r="F7" s="39">
        <v>9504</v>
      </c>
      <c r="G7" s="39">
        <v>4187</v>
      </c>
      <c r="H7" s="39">
        <v>4040</v>
      </c>
      <c r="I7" s="39">
        <v>2914</v>
      </c>
      <c r="J7" s="39">
        <v>159904</v>
      </c>
    </row>
    <row r="8" spans="1:10" ht="14.5" x14ac:dyDescent="0.35">
      <c r="A8" s="38" t="s">
        <v>442</v>
      </c>
      <c r="B8" s="39">
        <v>51024</v>
      </c>
      <c r="C8" s="39">
        <v>23523</v>
      </c>
      <c r="D8" s="39">
        <v>27780</v>
      </c>
      <c r="E8" s="39">
        <v>19824</v>
      </c>
      <c r="F8" s="39">
        <v>7901</v>
      </c>
      <c r="G8" s="39">
        <v>2507</v>
      </c>
      <c r="H8" s="39">
        <v>2156</v>
      </c>
      <c r="I8" s="39">
        <v>5689</v>
      </c>
      <c r="J8" s="39">
        <v>140404</v>
      </c>
    </row>
    <row r="9" spans="1:10" ht="14.5" x14ac:dyDescent="0.35">
      <c r="A9" s="38" t="s">
        <v>443</v>
      </c>
      <c r="B9" s="39">
        <v>36406</v>
      </c>
      <c r="C9" s="39">
        <v>30950</v>
      </c>
      <c r="D9" s="39">
        <v>28552</v>
      </c>
      <c r="E9" s="39">
        <v>26245</v>
      </c>
      <c r="F9" s="39">
        <v>5674</v>
      </c>
      <c r="G9" s="39">
        <v>2432</v>
      </c>
      <c r="H9" s="39">
        <v>2800</v>
      </c>
      <c r="I9" s="39">
        <v>2802</v>
      </c>
      <c r="J9" s="39">
        <v>135861</v>
      </c>
    </row>
    <row r="10" spans="1:10" ht="14.5" x14ac:dyDescent="0.35">
      <c r="A10" s="38" t="s">
        <v>444</v>
      </c>
      <c r="B10" s="39">
        <v>74562</v>
      </c>
      <c r="C10" s="39">
        <v>21942</v>
      </c>
      <c r="D10" s="39">
        <v>22291</v>
      </c>
      <c r="E10" s="39">
        <v>5653</v>
      </c>
      <c r="F10" s="39">
        <v>3295</v>
      </c>
      <c r="G10" s="39">
        <v>1482</v>
      </c>
      <c r="H10" s="39">
        <v>1397</v>
      </c>
      <c r="I10" s="39">
        <v>681</v>
      </c>
      <c r="J10" s="39">
        <v>131303</v>
      </c>
    </row>
    <row r="11" spans="1:10" ht="14.5" x14ac:dyDescent="0.35">
      <c r="A11" s="38" t="s">
        <v>445</v>
      </c>
      <c r="B11" s="39">
        <v>43585</v>
      </c>
      <c r="C11" s="39">
        <v>26300</v>
      </c>
      <c r="D11" s="39">
        <v>21305</v>
      </c>
      <c r="E11" s="39">
        <v>9207</v>
      </c>
      <c r="F11" s="39">
        <v>7562</v>
      </c>
      <c r="G11" s="39">
        <v>1279</v>
      </c>
      <c r="H11" s="39">
        <v>2180</v>
      </c>
      <c r="I11" s="39">
        <v>1629</v>
      </c>
      <c r="J11" s="39">
        <v>113047</v>
      </c>
    </row>
    <row r="12" spans="1:10" ht="14.5" x14ac:dyDescent="0.35">
      <c r="A12" s="38" t="s">
        <v>446</v>
      </c>
      <c r="B12" s="39">
        <v>38695</v>
      </c>
      <c r="C12" s="39">
        <v>28962</v>
      </c>
      <c r="D12" s="39">
        <v>22819</v>
      </c>
      <c r="E12" s="39">
        <v>5071</v>
      </c>
      <c r="F12" s="39">
        <v>9068</v>
      </c>
      <c r="G12" s="39">
        <v>1599</v>
      </c>
      <c r="H12" s="39">
        <v>3105</v>
      </c>
      <c r="I12" s="39">
        <v>988</v>
      </c>
      <c r="J12" s="39">
        <v>110307</v>
      </c>
    </row>
    <row r="13" spans="1:10" ht="14.5" x14ac:dyDescent="0.35">
      <c r="A13" s="38" t="s">
        <v>447</v>
      </c>
      <c r="B13" s="39">
        <v>40117</v>
      </c>
      <c r="C13" s="39">
        <v>22840</v>
      </c>
      <c r="D13" s="39">
        <v>17461</v>
      </c>
      <c r="E13" s="39">
        <v>13065</v>
      </c>
      <c r="F13" s="39">
        <v>8750</v>
      </c>
      <c r="G13" s="39">
        <v>2571</v>
      </c>
      <c r="H13" s="39">
        <v>1876</v>
      </c>
      <c r="I13" s="39">
        <v>1747</v>
      </c>
      <c r="J13" s="39">
        <v>108427</v>
      </c>
    </row>
    <row r="14" spans="1:10" ht="14.5" x14ac:dyDescent="0.35">
      <c r="A14" s="38" t="s">
        <v>448</v>
      </c>
      <c r="B14" s="39">
        <v>44821</v>
      </c>
      <c r="C14" s="39">
        <v>13815</v>
      </c>
      <c r="D14" s="39">
        <v>27681</v>
      </c>
      <c r="E14" s="39">
        <v>2894</v>
      </c>
      <c r="F14" s="39">
        <v>10441</v>
      </c>
      <c r="G14" s="39">
        <v>999</v>
      </c>
      <c r="H14" s="39">
        <v>4517</v>
      </c>
      <c r="I14" s="39">
        <v>1486</v>
      </c>
      <c r="J14" s="39">
        <v>106654</v>
      </c>
    </row>
    <row r="15" spans="1:10" ht="14.5" x14ac:dyDescent="0.35">
      <c r="A15" s="38" t="s">
        <v>449</v>
      </c>
      <c r="B15" s="39">
        <v>39769</v>
      </c>
      <c r="C15" s="39">
        <v>19640</v>
      </c>
      <c r="D15" s="39">
        <v>21569</v>
      </c>
      <c r="E15" s="39">
        <v>11005</v>
      </c>
      <c r="F15" s="39">
        <v>6578</v>
      </c>
      <c r="G15" s="39">
        <v>2197</v>
      </c>
      <c r="H15" s="39">
        <v>1947</v>
      </c>
      <c r="I15" s="39">
        <v>1979</v>
      </c>
      <c r="J15" s="39">
        <v>104684</v>
      </c>
    </row>
    <row r="16" spans="1:10" ht="14.5" x14ac:dyDescent="0.35">
      <c r="A16" s="38" t="s">
        <v>450</v>
      </c>
      <c r="B16" s="39">
        <v>38658</v>
      </c>
      <c r="C16" s="39">
        <v>21960</v>
      </c>
      <c r="D16" s="39">
        <v>20501</v>
      </c>
      <c r="E16" s="39">
        <v>8334</v>
      </c>
      <c r="F16" s="39">
        <v>7579</v>
      </c>
      <c r="G16" s="39">
        <v>1881</v>
      </c>
      <c r="H16" s="39">
        <v>2447</v>
      </c>
      <c r="I16" s="39">
        <v>1548</v>
      </c>
      <c r="J16" s="39">
        <v>102908</v>
      </c>
    </row>
    <row r="17" spans="1:10" ht="14.5" x14ac:dyDescent="0.35">
      <c r="A17" s="38" t="s">
        <v>451</v>
      </c>
      <c r="B17" s="39">
        <v>23943</v>
      </c>
      <c r="C17" s="39">
        <v>30682</v>
      </c>
      <c r="D17" s="39">
        <v>19566</v>
      </c>
      <c r="E17" s="39">
        <v>6907</v>
      </c>
      <c r="F17" s="39">
        <v>7497</v>
      </c>
      <c r="G17" s="39">
        <v>460</v>
      </c>
      <c r="H17" s="39">
        <v>4592</v>
      </c>
      <c r="I17" s="39">
        <v>6346</v>
      </c>
      <c r="J17" s="39">
        <v>99993</v>
      </c>
    </row>
    <row r="18" spans="1:10" ht="14.5" x14ac:dyDescent="0.35">
      <c r="A18" s="38" t="s">
        <v>452</v>
      </c>
      <c r="B18" s="39">
        <v>34590</v>
      </c>
      <c r="C18" s="39">
        <v>23931</v>
      </c>
      <c r="D18" s="39">
        <v>19881</v>
      </c>
      <c r="E18" s="39">
        <v>9629</v>
      </c>
      <c r="F18" s="39">
        <v>6577</v>
      </c>
      <c r="G18" s="39">
        <v>2374</v>
      </c>
      <c r="H18" s="39">
        <v>1719</v>
      </c>
      <c r="I18" s="39">
        <v>1092</v>
      </c>
      <c r="J18" s="39">
        <v>99793</v>
      </c>
    </row>
    <row r="19" spans="1:10" ht="14.5" x14ac:dyDescent="0.35">
      <c r="A19" s="38" t="s">
        <v>453</v>
      </c>
      <c r="B19" s="39">
        <v>28577</v>
      </c>
      <c r="C19" s="39">
        <v>20788</v>
      </c>
      <c r="D19" s="39">
        <v>26289</v>
      </c>
      <c r="E19" s="39">
        <v>9074</v>
      </c>
      <c r="F19" s="39">
        <v>9773</v>
      </c>
      <c r="G19" s="39">
        <v>1724</v>
      </c>
      <c r="H19" s="39">
        <v>2305</v>
      </c>
      <c r="I19" s="39">
        <v>1250</v>
      </c>
      <c r="J19" s="39">
        <v>99780</v>
      </c>
    </row>
    <row r="20" spans="1:10" ht="14.5" x14ac:dyDescent="0.35">
      <c r="A20" s="38" t="s">
        <v>454</v>
      </c>
      <c r="B20" s="39">
        <v>32929</v>
      </c>
      <c r="C20" s="39">
        <v>20293</v>
      </c>
      <c r="D20" s="39">
        <v>17103</v>
      </c>
      <c r="E20" s="39">
        <v>16625</v>
      </c>
      <c r="F20" s="39">
        <v>7110</v>
      </c>
      <c r="G20" s="39">
        <v>1636</v>
      </c>
      <c r="H20" s="39">
        <v>1585</v>
      </c>
      <c r="I20" s="39">
        <v>2373</v>
      </c>
      <c r="J20" s="39">
        <v>99654</v>
      </c>
    </row>
    <row r="21" spans="1:10" ht="14.5" x14ac:dyDescent="0.35">
      <c r="A21" s="38" t="s">
        <v>455</v>
      </c>
      <c r="B21" s="39">
        <v>41148</v>
      </c>
      <c r="C21" s="39">
        <v>17781</v>
      </c>
      <c r="D21" s="39">
        <v>15338</v>
      </c>
      <c r="E21" s="39">
        <v>9709</v>
      </c>
      <c r="F21" s="39">
        <v>8123</v>
      </c>
      <c r="G21" s="39">
        <v>1919</v>
      </c>
      <c r="H21" s="39">
        <v>1506</v>
      </c>
      <c r="I21" s="39">
        <v>2424</v>
      </c>
      <c r="J21" s="39">
        <v>97948</v>
      </c>
    </row>
    <row r="22" spans="1:10" ht="14.5" x14ac:dyDescent="0.35">
      <c r="A22" s="38" t="s">
        <v>456</v>
      </c>
      <c r="B22" s="39">
        <v>35824</v>
      </c>
      <c r="C22" s="39">
        <v>15492</v>
      </c>
      <c r="D22" s="39">
        <v>20395</v>
      </c>
      <c r="E22" s="39">
        <v>10056</v>
      </c>
      <c r="F22" s="39">
        <v>10806</v>
      </c>
      <c r="G22" s="39">
        <v>1233</v>
      </c>
      <c r="H22" s="39">
        <v>2624</v>
      </c>
      <c r="I22" s="39">
        <v>863</v>
      </c>
      <c r="J22" s="39">
        <v>97293</v>
      </c>
    </row>
    <row r="23" spans="1:10" ht="14.5" x14ac:dyDescent="0.35">
      <c r="A23" s="38" t="s">
        <v>369</v>
      </c>
      <c r="B23" s="39">
        <v>1884622</v>
      </c>
      <c r="C23" s="39">
        <v>1231723</v>
      </c>
      <c r="D23" s="39">
        <v>1088983</v>
      </c>
      <c r="E23" s="39">
        <v>684723</v>
      </c>
      <c r="F23" s="39">
        <v>376659</v>
      </c>
      <c r="G23" s="39">
        <v>125512</v>
      </c>
      <c r="H23" s="39">
        <v>101059</v>
      </c>
      <c r="I23" s="39">
        <v>118462</v>
      </c>
      <c r="J23" s="39">
        <v>5611743</v>
      </c>
    </row>
    <row r="24" spans="1:10" ht="14.5" x14ac:dyDescent="0.35">
      <c r="A24" s="38" t="s">
        <v>457</v>
      </c>
      <c r="B24" s="39">
        <v>39162</v>
      </c>
      <c r="C24" s="39">
        <v>93590</v>
      </c>
      <c r="D24" s="39">
        <v>110841</v>
      </c>
      <c r="E24" s="39">
        <v>74720</v>
      </c>
      <c r="F24" s="39">
        <v>13</v>
      </c>
      <c r="G24" s="39">
        <v>72</v>
      </c>
      <c r="H24" s="39">
        <v>3989</v>
      </c>
      <c r="I24" s="39">
        <v>16763</v>
      </c>
      <c r="J24" s="39">
        <v>339150</v>
      </c>
    </row>
    <row r="25" spans="1:10" ht="14.5" x14ac:dyDescent="0.35">
      <c r="A25" s="41" t="s">
        <v>304</v>
      </c>
      <c r="B25" s="42">
        <v>3160473</v>
      </c>
      <c r="C25" s="42">
        <v>1978267</v>
      </c>
      <c r="D25" s="42">
        <v>1766839</v>
      </c>
      <c r="E25" s="42">
        <v>1027017</v>
      </c>
      <c r="F25" s="42">
        <v>622876</v>
      </c>
      <c r="G25" s="42">
        <v>183120</v>
      </c>
      <c r="H25" s="42">
        <v>167603</v>
      </c>
      <c r="I25" s="42">
        <v>188117</v>
      </c>
      <c r="J25" s="42">
        <v>9094312</v>
      </c>
    </row>
    <row r="26" spans="1:10" ht="14.5" x14ac:dyDescent="0.35">
      <c r="A26" s="98" t="s">
        <v>458</v>
      </c>
      <c r="B26" s="99"/>
      <c r="C26" s="99"/>
      <c r="D26" s="99"/>
      <c r="E26" s="99"/>
      <c r="F26" s="99"/>
      <c r="G26" s="99"/>
      <c r="H26" s="99"/>
      <c r="I26" s="99"/>
      <c r="J26" s="99"/>
    </row>
    <row r="27" spans="1:10" ht="14.5" x14ac:dyDescent="0.35">
      <c r="A27" s="44"/>
      <c r="B27" s="35"/>
      <c r="C27" s="35"/>
      <c r="D27" s="35"/>
      <c r="E27" s="35"/>
      <c r="F27" s="35"/>
      <c r="G27" s="35"/>
      <c r="H27" s="35"/>
      <c r="I27" s="35"/>
      <c r="J27" s="35"/>
    </row>
    <row r="28" spans="1:10" ht="14.5" x14ac:dyDescent="0.35">
      <c r="A28" s="35" t="s">
        <v>290</v>
      </c>
      <c r="B28" s="35"/>
      <c r="C28" s="35"/>
      <c r="D28" s="35"/>
      <c r="E28" s="35"/>
      <c r="F28" s="35"/>
      <c r="G28" s="35"/>
      <c r="H28" s="35"/>
      <c r="I28" s="35"/>
      <c r="J28" s="35"/>
    </row>
    <row r="29" spans="1:10" ht="14.5" x14ac:dyDescent="0.35">
      <c r="A29" s="45" t="s">
        <v>291</v>
      </c>
      <c r="B29" s="35"/>
      <c r="C29" s="35"/>
      <c r="D29" s="35"/>
      <c r="E29" s="35"/>
      <c r="F29" s="35"/>
      <c r="G29" s="35"/>
      <c r="H29" s="35"/>
      <c r="I29" s="35"/>
      <c r="J29" s="35"/>
    </row>
    <row r="30" spans="1:10" ht="14.5" x14ac:dyDescent="0.35">
      <c r="A30" s="35"/>
      <c r="B30" s="35"/>
      <c r="C30" s="35"/>
      <c r="D30" s="35"/>
      <c r="E30" s="35"/>
      <c r="F30" s="35"/>
      <c r="G30" s="35"/>
      <c r="H30" s="35"/>
      <c r="I30" s="35"/>
      <c r="J30" s="35"/>
    </row>
    <row r="31" spans="1:10" ht="14.5" x14ac:dyDescent="0.35">
      <c r="A31" s="45" t="s">
        <v>3</v>
      </c>
      <c r="B31" s="35"/>
      <c r="C31" s="35"/>
      <c r="D31" s="35"/>
      <c r="E31" s="35"/>
      <c r="F31" s="35"/>
      <c r="G31" s="35"/>
      <c r="H31" s="35"/>
      <c r="I31" s="35"/>
      <c r="J31" s="35"/>
    </row>
    <row r="32" spans="1:10" ht="14.5" x14ac:dyDescent="0.35">
      <c r="A32" s="35"/>
      <c r="B32" s="35"/>
      <c r="C32" s="35"/>
      <c r="D32" s="35"/>
      <c r="E32" s="35"/>
      <c r="F32" s="35"/>
      <c r="G32" s="35"/>
      <c r="H32" s="35"/>
      <c r="I32" s="35"/>
      <c r="J32" s="35"/>
    </row>
    <row r="33" spans="1:10" ht="14.5" x14ac:dyDescent="0.35">
      <c r="A33" s="45" t="s">
        <v>292</v>
      </c>
      <c r="B33" s="35"/>
      <c r="C33" s="35"/>
      <c r="D33" s="35"/>
      <c r="E33" s="35"/>
      <c r="F33" s="35"/>
      <c r="G33" s="35"/>
      <c r="H33" s="35"/>
      <c r="I33" s="35"/>
      <c r="J33" s="35"/>
    </row>
  </sheetData>
  <mergeCells count="2">
    <mergeCell ref="A1:J1"/>
    <mergeCell ref="A26:J26"/>
  </mergeCells>
  <hyperlinks>
    <hyperlink ref="A29" r:id="rId1" xr:uid="{00000000-0004-0000-1100-000000000000}"/>
    <hyperlink ref="A31" location="'Technical specifications'!A1" display="Technical specifications" xr:uid="{00000000-0004-0000-1100-000001000000}"/>
    <hyperlink ref="A33" location="Contents!A1" display="Back to contents" xr:uid="{00000000-0004-0000-11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G34"/>
  <sheetViews>
    <sheetView workbookViewId="0">
      <selection sqref="A1:G1"/>
    </sheetView>
  </sheetViews>
  <sheetFormatPr defaultRowHeight="14.75" customHeight="1" x14ac:dyDescent="0.35"/>
  <cols>
    <col min="1" max="1" width="79" customWidth="1"/>
    <col min="2" max="7" width="14.36328125" customWidth="1"/>
  </cols>
  <sheetData>
    <row r="1" spans="1:7" ht="33.75" customHeight="1" x14ac:dyDescent="0.35">
      <c r="A1" s="96" t="s">
        <v>459</v>
      </c>
      <c r="B1" s="97"/>
      <c r="C1" s="97"/>
      <c r="D1" s="97"/>
      <c r="E1" s="97"/>
      <c r="F1" s="97"/>
      <c r="G1" s="97"/>
    </row>
    <row r="2" spans="1:7" ht="14.5" x14ac:dyDescent="0.35">
      <c r="A2" s="36" t="s">
        <v>398</v>
      </c>
      <c r="B2" s="37" t="s">
        <v>343</v>
      </c>
      <c r="C2" s="37" t="s">
        <v>344</v>
      </c>
      <c r="D2" s="37" t="s">
        <v>345</v>
      </c>
      <c r="E2" s="37" t="s">
        <v>346</v>
      </c>
      <c r="F2" s="37" t="s">
        <v>347</v>
      </c>
      <c r="G2" s="57" t="s">
        <v>1275</v>
      </c>
    </row>
    <row r="3" spans="1:7" ht="14.5" x14ac:dyDescent="0.35">
      <c r="A3" s="38" t="s">
        <v>437</v>
      </c>
      <c r="B3" s="39">
        <v>220</v>
      </c>
      <c r="C3" s="39">
        <v>21953</v>
      </c>
      <c r="D3" s="39">
        <v>100709</v>
      </c>
      <c r="E3" s="39">
        <v>28606</v>
      </c>
      <c r="F3" s="39">
        <v>692</v>
      </c>
      <c r="G3" s="39">
        <v>152184</v>
      </c>
    </row>
    <row r="4" spans="1:7" ht="14.5" x14ac:dyDescent="0.35">
      <c r="A4" s="38" t="s">
        <v>438</v>
      </c>
      <c r="B4" s="39">
        <v>471</v>
      </c>
      <c r="C4" s="39">
        <v>99326</v>
      </c>
      <c r="D4" s="39">
        <v>34490</v>
      </c>
      <c r="E4" s="39">
        <v>4044</v>
      </c>
      <c r="F4" s="39">
        <v>201</v>
      </c>
      <c r="G4" s="39">
        <v>138540</v>
      </c>
    </row>
    <row r="5" spans="1:7" ht="14.5" x14ac:dyDescent="0.35">
      <c r="A5" s="38" t="s">
        <v>445</v>
      </c>
      <c r="B5" s="39">
        <v>1150</v>
      </c>
      <c r="C5" s="39">
        <v>27016</v>
      </c>
      <c r="D5" s="39">
        <v>27528</v>
      </c>
      <c r="E5" s="39">
        <v>4038</v>
      </c>
      <c r="F5" s="39">
        <v>89</v>
      </c>
      <c r="G5" s="39">
        <v>59826</v>
      </c>
    </row>
    <row r="6" spans="1:7" ht="14.5" x14ac:dyDescent="0.35">
      <c r="A6" s="38" t="s">
        <v>456</v>
      </c>
      <c r="B6" s="39">
        <v>1335</v>
      </c>
      <c r="C6" s="39">
        <v>25661</v>
      </c>
      <c r="D6" s="39">
        <v>27520</v>
      </c>
      <c r="E6" s="39">
        <v>4872</v>
      </c>
      <c r="F6" s="39">
        <v>117</v>
      </c>
      <c r="G6" s="39">
        <v>59509</v>
      </c>
    </row>
    <row r="7" spans="1:7" ht="14.5" x14ac:dyDescent="0.35">
      <c r="A7" s="38" t="s">
        <v>442</v>
      </c>
      <c r="B7" s="39">
        <v>80</v>
      </c>
      <c r="C7" s="39">
        <v>5935</v>
      </c>
      <c r="D7" s="39">
        <v>26787</v>
      </c>
      <c r="E7" s="39">
        <v>23754</v>
      </c>
      <c r="F7" s="39">
        <v>1123</v>
      </c>
      <c r="G7" s="39">
        <v>57679</v>
      </c>
    </row>
    <row r="8" spans="1:7" ht="14.5" x14ac:dyDescent="0.35">
      <c r="A8" s="38" t="s">
        <v>441</v>
      </c>
      <c r="B8" s="39">
        <v>75</v>
      </c>
      <c r="C8" s="39">
        <v>5672</v>
      </c>
      <c r="D8" s="39">
        <v>25836</v>
      </c>
      <c r="E8" s="39">
        <v>16467</v>
      </c>
      <c r="F8" s="39">
        <v>383</v>
      </c>
      <c r="G8" s="39">
        <v>48434</v>
      </c>
    </row>
    <row r="9" spans="1:7" ht="14.5" x14ac:dyDescent="0.35">
      <c r="A9" s="38" t="s">
        <v>452</v>
      </c>
      <c r="B9" s="39">
        <v>794</v>
      </c>
      <c r="C9" s="39">
        <v>13637</v>
      </c>
      <c r="D9" s="39">
        <v>28893</v>
      </c>
      <c r="E9" s="39">
        <v>3068</v>
      </c>
      <c r="F9" s="39">
        <v>48</v>
      </c>
      <c r="G9" s="39">
        <v>46441</v>
      </c>
    </row>
    <row r="10" spans="1:7" ht="14.5" x14ac:dyDescent="0.35">
      <c r="A10" s="38" t="s">
        <v>460</v>
      </c>
      <c r="B10" s="39">
        <v>202</v>
      </c>
      <c r="C10" s="39">
        <v>17310</v>
      </c>
      <c r="D10" s="39">
        <v>18375</v>
      </c>
      <c r="E10" s="39">
        <v>4461</v>
      </c>
      <c r="F10" s="39">
        <v>103</v>
      </c>
      <c r="G10" s="39">
        <v>40452</v>
      </c>
    </row>
    <row r="11" spans="1:7" ht="14.5" x14ac:dyDescent="0.35">
      <c r="A11" s="38" t="s">
        <v>461</v>
      </c>
      <c r="B11" s="39">
        <v>2063</v>
      </c>
      <c r="C11" s="39">
        <v>19053</v>
      </c>
      <c r="D11" s="39">
        <v>16698</v>
      </c>
      <c r="E11" s="39">
        <v>1671</v>
      </c>
      <c r="F11" s="39">
        <v>60</v>
      </c>
      <c r="G11" s="39">
        <v>39547</v>
      </c>
    </row>
    <row r="12" spans="1:7" ht="14.5" x14ac:dyDescent="0.35">
      <c r="A12" s="38" t="s">
        <v>462</v>
      </c>
      <c r="B12" s="39">
        <v>363</v>
      </c>
      <c r="C12" s="39">
        <v>8447</v>
      </c>
      <c r="D12" s="39">
        <v>24927</v>
      </c>
      <c r="E12" s="39">
        <v>5296</v>
      </c>
      <c r="F12" s="39">
        <v>165</v>
      </c>
      <c r="G12" s="39">
        <v>39198</v>
      </c>
    </row>
    <row r="13" spans="1:7" ht="14.5" x14ac:dyDescent="0.35">
      <c r="A13" s="38" t="s">
        <v>446</v>
      </c>
      <c r="B13" s="39">
        <v>137</v>
      </c>
      <c r="C13" s="39">
        <v>5739</v>
      </c>
      <c r="D13" s="39">
        <v>22996</v>
      </c>
      <c r="E13" s="39">
        <v>7768</v>
      </c>
      <c r="F13" s="39">
        <v>118</v>
      </c>
      <c r="G13" s="39">
        <v>36759</v>
      </c>
    </row>
    <row r="14" spans="1:7" ht="14.5" x14ac:dyDescent="0.35">
      <c r="A14" s="38" t="s">
        <v>449</v>
      </c>
      <c r="B14" s="39">
        <v>239</v>
      </c>
      <c r="C14" s="39">
        <v>7623</v>
      </c>
      <c r="D14" s="39">
        <v>20064</v>
      </c>
      <c r="E14" s="39">
        <v>6807</v>
      </c>
      <c r="F14" s="39">
        <v>184</v>
      </c>
      <c r="G14" s="39">
        <v>34918</v>
      </c>
    </row>
    <row r="15" spans="1:7" ht="14.5" x14ac:dyDescent="0.35">
      <c r="A15" s="38" t="s">
        <v>450</v>
      </c>
      <c r="B15" s="39">
        <v>78</v>
      </c>
      <c r="C15" s="39">
        <v>5507</v>
      </c>
      <c r="D15" s="39">
        <v>20108</v>
      </c>
      <c r="E15" s="39">
        <v>7122</v>
      </c>
      <c r="F15" s="39">
        <v>135</v>
      </c>
      <c r="G15" s="39">
        <v>32950</v>
      </c>
    </row>
    <row r="16" spans="1:7" ht="14.5" x14ac:dyDescent="0.35">
      <c r="A16" s="38" t="s">
        <v>463</v>
      </c>
      <c r="B16" s="39">
        <v>1715</v>
      </c>
      <c r="C16" s="39">
        <v>19672</v>
      </c>
      <c r="D16" s="39">
        <v>9496</v>
      </c>
      <c r="E16" s="39">
        <v>1338</v>
      </c>
      <c r="F16" s="39">
        <v>50</v>
      </c>
      <c r="G16" s="39">
        <v>32271</v>
      </c>
    </row>
    <row r="17" spans="1:7" ht="14.5" x14ac:dyDescent="0.35">
      <c r="A17" s="38" t="s">
        <v>453</v>
      </c>
      <c r="B17" s="39">
        <v>378</v>
      </c>
      <c r="C17" s="39">
        <v>7426</v>
      </c>
      <c r="D17" s="39">
        <v>19652</v>
      </c>
      <c r="E17" s="39">
        <v>3986</v>
      </c>
      <c r="F17" s="39">
        <v>276</v>
      </c>
      <c r="G17" s="39">
        <v>31719</v>
      </c>
    </row>
    <row r="18" spans="1:7" ht="14.5" x14ac:dyDescent="0.35">
      <c r="A18" s="38" t="s">
        <v>440</v>
      </c>
      <c r="B18" s="39">
        <v>1410</v>
      </c>
      <c r="C18" s="39">
        <v>8488</v>
      </c>
      <c r="D18" s="39">
        <v>12706</v>
      </c>
      <c r="E18" s="39">
        <v>7163</v>
      </c>
      <c r="F18" s="39">
        <v>1047</v>
      </c>
      <c r="G18" s="39">
        <v>30814</v>
      </c>
    </row>
    <row r="19" spans="1:7" ht="14.5" x14ac:dyDescent="0.35">
      <c r="A19" s="38" t="s">
        <v>464</v>
      </c>
      <c r="B19" s="39">
        <v>121</v>
      </c>
      <c r="C19" s="39">
        <v>5165</v>
      </c>
      <c r="D19" s="39">
        <v>18860</v>
      </c>
      <c r="E19" s="39">
        <v>4869</v>
      </c>
      <c r="F19" s="39">
        <v>72</v>
      </c>
      <c r="G19" s="39">
        <v>29087</v>
      </c>
    </row>
    <row r="20" spans="1:7" ht="14.5" x14ac:dyDescent="0.35">
      <c r="A20" s="38" t="s">
        <v>465</v>
      </c>
      <c r="B20" s="39">
        <v>3370</v>
      </c>
      <c r="C20" s="39">
        <v>19738</v>
      </c>
      <c r="D20" s="39">
        <v>5276</v>
      </c>
      <c r="E20" s="39">
        <v>636</v>
      </c>
      <c r="F20" s="39">
        <v>59</v>
      </c>
      <c r="G20" s="39">
        <v>29082</v>
      </c>
    </row>
    <row r="21" spans="1:7" ht="14.5" x14ac:dyDescent="0.35">
      <c r="A21" s="38" t="s">
        <v>466</v>
      </c>
      <c r="B21" s="39">
        <v>586</v>
      </c>
      <c r="C21" s="39">
        <v>17899</v>
      </c>
      <c r="D21" s="39">
        <v>9215</v>
      </c>
      <c r="E21" s="39">
        <v>782</v>
      </c>
      <c r="F21" s="39">
        <v>38</v>
      </c>
      <c r="G21" s="39">
        <v>28532</v>
      </c>
    </row>
    <row r="22" spans="1:7" ht="14.5" x14ac:dyDescent="0.35">
      <c r="A22" s="38" t="s">
        <v>467</v>
      </c>
      <c r="B22" s="39">
        <v>674</v>
      </c>
      <c r="C22" s="39">
        <v>10098</v>
      </c>
      <c r="D22" s="39">
        <v>14975</v>
      </c>
      <c r="E22" s="39">
        <v>2655</v>
      </c>
      <c r="F22" s="39">
        <v>61</v>
      </c>
      <c r="G22" s="39">
        <v>28470</v>
      </c>
    </row>
    <row r="23" spans="1:7" ht="14.5" x14ac:dyDescent="0.35">
      <c r="A23" s="38" t="s">
        <v>369</v>
      </c>
      <c r="B23" s="39">
        <v>46706</v>
      </c>
      <c r="C23" s="39">
        <v>475662</v>
      </c>
      <c r="D23" s="39">
        <v>885872</v>
      </c>
      <c r="E23" s="39">
        <v>319074</v>
      </c>
      <c r="F23" s="39">
        <v>24713</v>
      </c>
      <c r="G23" s="39">
        <v>1752110</v>
      </c>
    </row>
    <row r="24" spans="1:7" ht="14.5" x14ac:dyDescent="0.35">
      <c r="A24" s="38" t="s">
        <v>457</v>
      </c>
      <c r="B24" s="39">
        <v>11</v>
      </c>
      <c r="C24" s="39">
        <v>185</v>
      </c>
      <c r="D24" s="39">
        <v>611</v>
      </c>
      <c r="E24" s="39">
        <v>358</v>
      </c>
      <c r="F24" s="39">
        <v>143</v>
      </c>
      <c r="G24" s="39">
        <v>1320</v>
      </c>
    </row>
    <row r="25" spans="1:7" ht="14.5" x14ac:dyDescent="0.35">
      <c r="A25" s="41" t="s">
        <v>304</v>
      </c>
      <c r="B25" s="42">
        <v>62178</v>
      </c>
      <c r="C25" s="42">
        <v>827212</v>
      </c>
      <c r="D25" s="42">
        <v>1371594</v>
      </c>
      <c r="E25" s="42">
        <v>458835</v>
      </c>
      <c r="F25" s="42">
        <v>29877</v>
      </c>
      <c r="G25" s="42">
        <v>2749842</v>
      </c>
    </row>
    <row r="26" spans="1:7" ht="14.5" x14ac:dyDescent="0.35">
      <c r="A26" s="100" t="s">
        <v>468</v>
      </c>
      <c r="B26" s="99"/>
      <c r="C26" s="99"/>
      <c r="D26" s="99"/>
      <c r="E26" s="99"/>
      <c r="F26" s="99"/>
      <c r="G26" s="99"/>
    </row>
    <row r="27" spans="1:7" ht="14.5" x14ac:dyDescent="0.35">
      <c r="A27" s="100" t="s">
        <v>469</v>
      </c>
      <c r="B27" s="99"/>
      <c r="C27" s="99"/>
      <c r="D27" s="99"/>
      <c r="E27" s="99"/>
      <c r="F27" s="99"/>
      <c r="G27" s="99"/>
    </row>
    <row r="28" spans="1:7" ht="14.5" x14ac:dyDescent="0.35">
      <c r="A28" s="44"/>
      <c r="B28" s="35"/>
      <c r="C28" s="35"/>
      <c r="D28" s="35"/>
      <c r="E28" s="35"/>
      <c r="F28" s="35"/>
      <c r="G28" s="35"/>
    </row>
    <row r="29" spans="1:7" ht="14.5" x14ac:dyDescent="0.35">
      <c r="A29" s="35" t="s">
        <v>290</v>
      </c>
      <c r="B29" s="35"/>
      <c r="C29" s="35"/>
      <c r="D29" s="35"/>
      <c r="E29" s="35"/>
      <c r="F29" s="35"/>
      <c r="G29" s="35"/>
    </row>
    <row r="30" spans="1:7" ht="14.5" x14ac:dyDescent="0.35">
      <c r="A30" s="45" t="s">
        <v>291</v>
      </c>
      <c r="B30" s="35"/>
      <c r="C30" s="35"/>
      <c r="D30" s="35"/>
      <c r="E30" s="35"/>
      <c r="F30" s="35"/>
      <c r="G30" s="35"/>
    </row>
    <row r="31" spans="1:7" ht="14.5" x14ac:dyDescent="0.35">
      <c r="A31" s="35"/>
      <c r="B31" s="35"/>
      <c r="C31" s="35"/>
      <c r="D31" s="35"/>
      <c r="E31" s="35"/>
      <c r="F31" s="35"/>
      <c r="G31" s="35"/>
    </row>
    <row r="32" spans="1:7" ht="14.5" x14ac:dyDescent="0.35">
      <c r="A32" s="45" t="s">
        <v>3</v>
      </c>
      <c r="B32" s="35"/>
      <c r="C32" s="35"/>
      <c r="D32" s="35"/>
      <c r="E32" s="35"/>
      <c r="F32" s="35"/>
      <c r="G32" s="35"/>
    </row>
    <row r="33" spans="1:7" ht="14.5" x14ac:dyDescent="0.35">
      <c r="A33" s="35"/>
      <c r="B33" s="35"/>
      <c r="C33" s="35"/>
      <c r="D33" s="35"/>
      <c r="E33" s="35"/>
      <c r="F33" s="35"/>
      <c r="G33" s="35"/>
    </row>
    <row r="34" spans="1:7" ht="14.5" x14ac:dyDescent="0.35">
      <c r="A34" s="45" t="s">
        <v>292</v>
      </c>
      <c r="B34" s="35"/>
      <c r="C34" s="35"/>
      <c r="D34" s="35"/>
      <c r="E34" s="35"/>
      <c r="F34" s="35"/>
      <c r="G34" s="35"/>
    </row>
  </sheetData>
  <mergeCells count="3">
    <mergeCell ref="A27:G27"/>
    <mergeCell ref="A26:G26"/>
    <mergeCell ref="A1:G1"/>
  </mergeCells>
  <hyperlinks>
    <hyperlink ref="A30" r:id="rId1" xr:uid="{00000000-0004-0000-1200-000000000000}"/>
    <hyperlink ref="A32" location="'Technical specifications'!A1" display="Technical specifications" xr:uid="{00000000-0004-0000-1200-000001000000}"/>
    <hyperlink ref="A34" location="Contents!A1" display="Back to contents" xr:uid="{00000000-0004-0000-1200-00000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C71"/>
  <sheetViews>
    <sheetView workbookViewId="0">
      <selection sqref="A1:C1"/>
    </sheetView>
  </sheetViews>
  <sheetFormatPr defaultRowHeight="14.75" customHeight="1" x14ac:dyDescent="0.35"/>
  <cols>
    <col min="1" max="1" width="13" customWidth="1"/>
    <col min="2" max="2" width="79" customWidth="1"/>
    <col min="3" max="3" width="8.453125" customWidth="1"/>
  </cols>
  <sheetData>
    <row r="1" spans="1:3" ht="33.75" customHeight="1" x14ac:dyDescent="0.35">
      <c r="A1" s="96" t="s">
        <v>470</v>
      </c>
      <c r="B1" s="97"/>
      <c r="C1" s="97"/>
    </row>
    <row r="2" spans="1:3" ht="14.5" x14ac:dyDescent="0.35">
      <c r="A2" s="36" t="s">
        <v>471</v>
      </c>
      <c r="B2" s="36" t="s">
        <v>472</v>
      </c>
      <c r="C2" s="37" t="s">
        <v>304</v>
      </c>
    </row>
    <row r="3" spans="1:3" ht="14.5" x14ac:dyDescent="0.35">
      <c r="A3" s="38" t="s">
        <v>310</v>
      </c>
      <c r="B3" s="38" t="s">
        <v>443</v>
      </c>
      <c r="C3" s="39">
        <v>67556</v>
      </c>
    </row>
    <row r="4" spans="1:3" ht="14.5" x14ac:dyDescent="0.35">
      <c r="A4" s="38" t="s">
        <v>310</v>
      </c>
      <c r="B4" s="38" t="s">
        <v>455</v>
      </c>
      <c r="C4" s="39">
        <v>49396</v>
      </c>
    </row>
    <row r="5" spans="1:3" ht="14.5" x14ac:dyDescent="0.35">
      <c r="A5" s="38" t="s">
        <v>310</v>
      </c>
      <c r="B5" s="38" t="s">
        <v>460</v>
      </c>
      <c r="C5" s="39">
        <v>38658</v>
      </c>
    </row>
    <row r="6" spans="1:3" ht="14.5" x14ac:dyDescent="0.35">
      <c r="A6" s="38" t="s">
        <v>310</v>
      </c>
      <c r="B6" s="38" t="s">
        <v>473</v>
      </c>
      <c r="C6" s="39">
        <v>35208</v>
      </c>
    </row>
    <row r="7" spans="1:3" ht="14.5" x14ac:dyDescent="0.35">
      <c r="A7" s="38" t="s">
        <v>310</v>
      </c>
      <c r="B7" s="38" t="s">
        <v>445</v>
      </c>
      <c r="C7" s="39">
        <v>33639</v>
      </c>
    </row>
    <row r="8" spans="1:3" ht="14.5" x14ac:dyDescent="0.35">
      <c r="A8" s="38" t="s">
        <v>311</v>
      </c>
      <c r="B8" s="38" t="s">
        <v>437</v>
      </c>
      <c r="C8" s="39">
        <v>48817</v>
      </c>
    </row>
    <row r="9" spans="1:3" ht="14.5" x14ac:dyDescent="0.35">
      <c r="A9" s="38" t="s">
        <v>311</v>
      </c>
      <c r="B9" s="38" t="s">
        <v>474</v>
      </c>
      <c r="C9" s="39">
        <v>35316</v>
      </c>
    </row>
    <row r="10" spans="1:3" ht="14.5" x14ac:dyDescent="0.35">
      <c r="A10" s="38" t="s">
        <v>311</v>
      </c>
      <c r="B10" s="38" t="s">
        <v>475</v>
      </c>
      <c r="C10" s="39">
        <v>26186</v>
      </c>
    </row>
    <row r="11" spans="1:3" ht="14.5" x14ac:dyDescent="0.35">
      <c r="A11" s="38" t="s">
        <v>311</v>
      </c>
      <c r="B11" s="38" t="s">
        <v>439</v>
      </c>
      <c r="C11" s="39">
        <v>24085</v>
      </c>
    </row>
    <row r="12" spans="1:3" ht="14.5" x14ac:dyDescent="0.35">
      <c r="A12" s="38" t="s">
        <v>311</v>
      </c>
      <c r="B12" s="38" t="s">
        <v>443</v>
      </c>
      <c r="C12" s="39">
        <v>22055</v>
      </c>
    </row>
    <row r="13" spans="1:3" ht="14.5" x14ac:dyDescent="0.35">
      <c r="A13" s="38" t="s">
        <v>312</v>
      </c>
      <c r="B13" s="38" t="s">
        <v>437</v>
      </c>
      <c r="C13" s="39">
        <v>71308</v>
      </c>
    </row>
    <row r="14" spans="1:3" ht="14.5" x14ac:dyDescent="0.35">
      <c r="A14" s="38" t="s">
        <v>312</v>
      </c>
      <c r="B14" s="38" t="s">
        <v>439</v>
      </c>
      <c r="C14" s="39">
        <v>45858</v>
      </c>
    </row>
    <row r="15" spans="1:3" ht="14.5" x14ac:dyDescent="0.35">
      <c r="A15" s="38" t="s">
        <v>312</v>
      </c>
      <c r="B15" s="38" t="s">
        <v>438</v>
      </c>
      <c r="C15" s="39">
        <v>38817</v>
      </c>
    </row>
    <row r="16" spans="1:3" ht="14.5" x14ac:dyDescent="0.35">
      <c r="A16" s="38" t="s">
        <v>312</v>
      </c>
      <c r="B16" s="38" t="s">
        <v>453</v>
      </c>
      <c r="C16" s="39">
        <v>30065</v>
      </c>
    </row>
    <row r="17" spans="1:3" ht="14.5" x14ac:dyDescent="0.35">
      <c r="A17" s="38" t="s">
        <v>312</v>
      </c>
      <c r="B17" s="38" t="s">
        <v>440</v>
      </c>
      <c r="C17" s="39">
        <v>23917</v>
      </c>
    </row>
    <row r="18" spans="1:3" ht="14.5" x14ac:dyDescent="0.35">
      <c r="A18" s="38" t="s">
        <v>313</v>
      </c>
      <c r="B18" s="38" t="s">
        <v>437</v>
      </c>
      <c r="C18" s="39">
        <v>85523</v>
      </c>
    </row>
    <row r="19" spans="1:3" ht="14.5" x14ac:dyDescent="0.35">
      <c r="A19" s="38" t="s">
        <v>313</v>
      </c>
      <c r="B19" s="38" t="s">
        <v>438</v>
      </c>
      <c r="C19" s="39">
        <v>56999</v>
      </c>
    </row>
    <row r="20" spans="1:3" ht="14.5" x14ac:dyDescent="0.35">
      <c r="A20" s="38" t="s">
        <v>313</v>
      </c>
      <c r="B20" s="38" t="s">
        <v>439</v>
      </c>
      <c r="C20" s="39">
        <v>49545</v>
      </c>
    </row>
    <row r="21" spans="1:3" ht="14.5" x14ac:dyDescent="0.35">
      <c r="A21" s="38" t="s">
        <v>313</v>
      </c>
      <c r="B21" s="38" t="s">
        <v>441</v>
      </c>
      <c r="C21" s="39">
        <v>22949</v>
      </c>
    </row>
    <row r="22" spans="1:3" ht="14.5" x14ac:dyDescent="0.35">
      <c r="A22" s="38" t="s">
        <v>313</v>
      </c>
      <c r="B22" s="38" t="s">
        <v>447</v>
      </c>
      <c r="C22" s="39">
        <v>22435</v>
      </c>
    </row>
    <row r="23" spans="1:3" ht="14.5" x14ac:dyDescent="0.35">
      <c r="A23" s="38" t="s">
        <v>314</v>
      </c>
      <c r="B23" s="38" t="s">
        <v>438</v>
      </c>
      <c r="C23" s="39">
        <v>66144</v>
      </c>
    </row>
    <row r="24" spans="1:3" ht="14.5" x14ac:dyDescent="0.35">
      <c r="A24" s="38" t="s">
        <v>314</v>
      </c>
      <c r="B24" s="38" t="s">
        <v>437</v>
      </c>
      <c r="C24" s="39">
        <v>65464</v>
      </c>
    </row>
    <row r="25" spans="1:3" ht="14.5" x14ac:dyDescent="0.35">
      <c r="A25" s="38" t="s">
        <v>314</v>
      </c>
      <c r="B25" s="38" t="s">
        <v>439</v>
      </c>
      <c r="C25" s="39">
        <v>41316</v>
      </c>
    </row>
    <row r="26" spans="1:3" ht="14.5" x14ac:dyDescent="0.35">
      <c r="A26" s="38" t="s">
        <v>314</v>
      </c>
      <c r="B26" s="38" t="s">
        <v>441</v>
      </c>
      <c r="C26" s="39">
        <v>25929</v>
      </c>
    </row>
    <row r="27" spans="1:3" ht="14.5" x14ac:dyDescent="0.35">
      <c r="A27" s="38" t="s">
        <v>314</v>
      </c>
      <c r="B27" s="38" t="s">
        <v>442</v>
      </c>
      <c r="C27" s="39">
        <v>18053</v>
      </c>
    </row>
    <row r="28" spans="1:3" ht="14.5" x14ac:dyDescent="0.35">
      <c r="A28" s="38" t="s">
        <v>315</v>
      </c>
      <c r="B28" s="38" t="s">
        <v>438</v>
      </c>
      <c r="C28" s="39">
        <v>69524</v>
      </c>
    </row>
    <row r="29" spans="1:3" ht="14.5" x14ac:dyDescent="0.35">
      <c r="A29" s="38" t="s">
        <v>315</v>
      </c>
      <c r="B29" s="38" t="s">
        <v>437</v>
      </c>
      <c r="C29" s="39">
        <v>48610</v>
      </c>
    </row>
    <row r="30" spans="1:3" ht="14.5" x14ac:dyDescent="0.35">
      <c r="A30" s="38" t="s">
        <v>315</v>
      </c>
      <c r="B30" s="38" t="s">
        <v>439</v>
      </c>
      <c r="C30" s="39">
        <v>33997</v>
      </c>
    </row>
    <row r="31" spans="1:3" ht="14.5" x14ac:dyDescent="0.35">
      <c r="A31" s="38" t="s">
        <v>315</v>
      </c>
      <c r="B31" s="38" t="s">
        <v>441</v>
      </c>
      <c r="C31" s="39">
        <v>24731</v>
      </c>
    </row>
    <row r="32" spans="1:3" ht="14.5" x14ac:dyDescent="0.35">
      <c r="A32" s="38" t="s">
        <v>315</v>
      </c>
      <c r="B32" s="38" t="s">
        <v>442</v>
      </c>
      <c r="C32" s="39">
        <v>18524</v>
      </c>
    </row>
    <row r="33" spans="1:3" ht="14.5" x14ac:dyDescent="0.35">
      <c r="A33" s="38" t="s">
        <v>316</v>
      </c>
      <c r="B33" s="38" t="s">
        <v>438</v>
      </c>
      <c r="C33" s="39">
        <v>68554</v>
      </c>
    </row>
    <row r="34" spans="1:3" ht="14.5" x14ac:dyDescent="0.35">
      <c r="A34" s="38" t="s">
        <v>316</v>
      </c>
      <c r="B34" s="38" t="s">
        <v>437</v>
      </c>
      <c r="C34" s="39">
        <v>39572</v>
      </c>
    </row>
    <row r="35" spans="1:3" ht="14.5" x14ac:dyDescent="0.35">
      <c r="A35" s="38" t="s">
        <v>316</v>
      </c>
      <c r="B35" s="38" t="s">
        <v>439</v>
      </c>
      <c r="C35" s="39">
        <v>28032</v>
      </c>
    </row>
    <row r="36" spans="1:3" ht="14.5" x14ac:dyDescent="0.35">
      <c r="A36" s="38" t="s">
        <v>316</v>
      </c>
      <c r="B36" s="38" t="s">
        <v>441</v>
      </c>
      <c r="C36" s="39">
        <v>22625</v>
      </c>
    </row>
    <row r="37" spans="1:3" ht="14.5" x14ac:dyDescent="0.35">
      <c r="A37" s="38" t="s">
        <v>316</v>
      </c>
      <c r="B37" s="38" t="s">
        <v>442</v>
      </c>
      <c r="C37" s="39">
        <v>18123</v>
      </c>
    </row>
    <row r="38" spans="1:3" ht="14.5" x14ac:dyDescent="0.35">
      <c r="A38" s="38" t="s">
        <v>317</v>
      </c>
      <c r="B38" s="38" t="s">
        <v>438</v>
      </c>
      <c r="C38" s="39">
        <v>56951</v>
      </c>
    </row>
    <row r="39" spans="1:3" ht="14.5" x14ac:dyDescent="0.35">
      <c r="A39" s="38" t="s">
        <v>317</v>
      </c>
      <c r="B39" s="38" t="s">
        <v>437</v>
      </c>
      <c r="C39" s="39">
        <v>31907</v>
      </c>
    </row>
    <row r="40" spans="1:3" ht="14.5" x14ac:dyDescent="0.35">
      <c r="A40" s="38" t="s">
        <v>317</v>
      </c>
      <c r="B40" s="38" t="s">
        <v>439</v>
      </c>
      <c r="C40" s="39">
        <v>22344</v>
      </c>
    </row>
    <row r="41" spans="1:3" ht="14.5" x14ac:dyDescent="0.35">
      <c r="A41" s="38" t="s">
        <v>317</v>
      </c>
      <c r="B41" s="38" t="s">
        <v>441</v>
      </c>
      <c r="C41" s="39">
        <v>19676</v>
      </c>
    </row>
    <row r="42" spans="1:3" ht="14.5" x14ac:dyDescent="0.35">
      <c r="A42" s="38" t="s">
        <v>317</v>
      </c>
      <c r="B42" s="38" t="s">
        <v>442</v>
      </c>
      <c r="C42" s="39">
        <v>17544</v>
      </c>
    </row>
    <row r="43" spans="1:3" ht="14.5" x14ac:dyDescent="0.35">
      <c r="A43" s="38" t="s">
        <v>318</v>
      </c>
      <c r="B43" s="38" t="s">
        <v>438</v>
      </c>
      <c r="C43" s="39">
        <v>44121</v>
      </c>
    </row>
    <row r="44" spans="1:3" ht="14.5" x14ac:dyDescent="0.35">
      <c r="A44" s="38" t="s">
        <v>318</v>
      </c>
      <c r="B44" s="38" t="s">
        <v>437</v>
      </c>
      <c r="C44" s="39">
        <v>25611</v>
      </c>
    </row>
    <row r="45" spans="1:3" ht="14.5" x14ac:dyDescent="0.35">
      <c r="A45" s="38" t="s">
        <v>318</v>
      </c>
      <c r="B45" s="38" t="s">
        <v>462</v>
      </c>
      <c r="C45" s="39">
        <v>22702</v>
      </c>
    </row>
    <row r="46" spans="1:3" ht="14.5" x14ac:dyDescent="0.35">
      <c r="A46" s="38" t="s">
        <v>318</v>
      </c>
      <c r="B46" s="38" t="s">
        <v>452</v>
      </c>
      <c r="C46" s="39">
        <v>19422</v>
      </c>
    </row>
    <row r="47" spans="1:3" ht="14.5" x14ac:dyDescent="0.35">
      <c r="A47" s="38" t="s">
        <v>318</v>
      </c>
      <c r="B47" s="38" t="s">
        <v>439</v>
      </c>
      <c r="C47" s="39">
        <v>18645</v>
      </c>
    </row>
    <row r="48" spans="1:3" ht="14.5" x14ac:dyDescent="0.35">
      <c r="A48" s="38" t="s">
        <v>319</v>
      </c>
      <c r="B48" s="38" t="s">
        <v>462</v>
      </c>
      <c r="C48" s="39">
        <v>12692</v>
      </c>
    </row>
    <row r="49" spans="1:3" ht="14.5" x14ac:dyDescent="0.35">
      <c r="A49" s="38" t="s">
        <v>319</v>
      </c>
      <c r="B49" s="38" t="s">
        <v>438</v>
      </c>
      <c r="C49" s="39">
        <v>12240</v>
      </c>
    </row>
    <row r="50" spans="1:3" ht="14.5" x14ac:dyDescent="0.35">
      <c r="A50" s="38" t="s">
        <v>319</v>
      </c>
      <c r="B50" s="38" t="s">
        <v>437</v>
      </c>
      <c r="C50" s="39">
        <v>7510</v>
      </c>
    </row>
    <row r="51" spans="1:3" ht="14.5" x14ac:dyDescent="0.35">
      <c r="A51" s="38" t="s">
        <v>319</v>
      </c>
      <c r="B51" s="38" t="s">
        <v>449</v>
      </c>
      <c r="C51" s="39">
        <v>7417</v>
      </c>
    </row>
    <row r="52" spans="1:3" ht="14.5" x14ac:dyDescent="0.35">
      <c r="A52" s="38" t="s">
        <v>319</v>
      </c>
      <c r="B52" s="38" t="s">
        <v>452</v>
      </c>
      <c r="C52" s="39">
        <v>7397</v>
      </c>
    </row>
    <row r="53" spans="1:3" ht="14.5" x14ac:dyDescent="0.35">
      <c r="A53" s="38" t="s">
        <v>320</v>
      </c>
      <c r="B53" s="38" t="s">
        <v>462</v>
      </c>
      <c r="C53" s="39">
        <v>8594</v>
      </c>
    </row>
    <row r="54" spans="1:3" ht="14.5" x14ac:dyDescent="0.35">
      <c r="A54" s="38" t="s">
        <v>320</v>
      </c>
      <c r="B54" s="38" t="s">
        <v>438</v>
      </c>
      <c r="C54" s="39">
        <v>5151</v>
      </c>
    </row>
    <row r="55" spans="1:3" ht="14.5" x14ac:dyDescent="0.35">
      <c r="A55" s="38" t="s">
        <v>320</v>
      </c>
      <c r="B55" s="38" t="s">
        <v>456</v>
      </c>
      <c r="C55" s="39">
        <v>4563</v>
      </c>
    </row>
    <row r="56" spans="1:3" ht="14.5" x14ac:dyDescent="0.35">
      <c r="A56" s="38" t="s">
        <v>320</v>
      </c>
      <c r="B56" s="38" t="s">
        <v>449</v>
      </c>
      <c r="C56" s="39">
        <v>4126</v>
      </c>
    </row>
    <row r="57" spans="1:3" ht="14.5" x14ac:dyDescent="0.35">
      <c r="A57" s="38" t="s">
        <v>320</v>
      </c>
      <c r="B57" s="38" t="s">
        <v>467</v>
      </c>
      <c r="C57" s="39">
        <v>3973</v>
      </c>
    </row>
    <row r="58" spans="1:3" ht="14.5" x14ac:dyDescent="0.35">
      <c r="A58" s="38" t="s">
        <v>321</v>
      </c>
      <c r="B58" s="38" t="s">
        <v>462</v>
      </c>
      <c r="C58" s="39">
        <v>3580</v>
      </c>
    </row>
    <row r="59" spans="1:3" ht="14.5" x14ac:dyDescent="0.35">
      <c r="A59" s="38" t="s">
        <v>321</v>
      </c>
      <c r="B59" s="38" t="s">
        <v>456</v>
      </c>
      <c r="C59" s="39">
        <v>1724</v>
      </c>
    </row>
    <row r="60" spans="1:3" ht="14.5" x14ac:dyDescent="0.35">
      <c r="A60" s="38" t="s">
        <v>321</v>
      </c>
      <c r="B60" s="38" t="s">
        <v>449</v>
      </c>
      <c r="C60" s="39">
        <v>1461</v>
      </c>
    </row>
    <row r="61" spans="1:3" ht="14.5" x14ac:dyDescent="0.35">
      <c r="A61" s="38" t="s">
        <v>321</v>
      </c>
      <c r="B61" s="38" t="s">
        <v>1320</v>
      </c>
      <c r="C61" s="39">
        <v>1447</v>
      </c>
    </row>
    <row r="62" spans="1:3" ht="14.5" x14ac:dyDescent="0.35">
      <c r="A62" s="49" t="s">
        <v>321</v>
      </c>
      <c r="B62" s="49" t="s">
        <v>476</v>
      </c>
      <c r="C62" s="50">
        <v>1366</v>
      </c>
    </row>
    <row r="63" spans="1:3" ht="14.5" x14ac:dyDescent="0.35">
      <c r="A63" s="100" t="s">
        <v>477</v>
      </c>
      <c r="B63" s="99"/>
      <c r="C63" s="99"/>
    </row>
    <row r="64" spans="1:3" ht="14.5" x14ac:dyDescent="0.35">
      <c r="A64" s="100" t="s">
        <v>478</v>
      </c>
      <c r="B64" s="99"/>
      <c r="C64" s="99"/>
    </row>
    <row r="65" spans="1:3" ht="14.5" x14ac:dyDescent="0.35">
      <c r="A65" s="44"/>
      <c r="B65" s="35"/>
      <c r="C65" s="35"/>
    </row>
    <row r="66" spans="1:3" ht="14.5" x14ac:dyDescent="0.35">
      <c r="A66" s="35" t="s">
        <v>290</v>
      </c>
      <c r="B66" s="35"/>
      <c r="C66" s="35"/>
    </row>
    <row r="67" spans="1:3" ht="14.5" x14ac:dyDescent="0.35">
      <c r="A67" s="45" t="s">
        <v>291</v>
      </c>
      <c r="B67" s="35"/>
      <c r="C67" s="35"/>
    </row>
    <row r="68" spans="1:3" ht="14.5" x14ac:dyDescent="0.35">
      <c r="A68" s="35"/>
      <c r="B68" s="35"/>
      <c r="C68" s="35"/>
    </row>
    <row r="69" spans="1:3" ht="14.5" x14ac:dyDescent="0.35">
      <c r="A69" s="45" t="s">
        <v>3</v>
      </c>
      <c r="B69" s="35"/>
      <c r="C69" s="35"/>
    </row>
    <row r="70" spans="1:3" ht="14.5" x14ac:dyDescent="0.35">
      <c r="A70" s="35"/>
      <c r="B70" s="35"/>
      <c r="C70" s="35"/>
    </row>
    <row r="71" spans="1:3" ht="14.5" x14ac:dyDescent="0.35">
      <c r="A71" s="45" t="s">
        <v>292</v>
      </c>
      <c r="B71" s="35"/>
      <c r="C71" s="35"/>
    </row>
  </sheetData>
  <mergeCells count="3">
    <mergeCell ref="A1:C1"/>
    <mergeCell ref="A63:C63"/>
    <mergeCell ref="A64:C64"/>
  </mergeCells>
  <hyperlinks>
    <hyperlink ref="A67" r:id="rId1" xr:uid="{00000000-0004-0000-1300-000000000000}"/>
    <hyperlink ref="A69" location="'Technical specifications'!A1" display="Technical specifications" xr:uid="{00000000-0004-0000-1300-000001000000}"/>
    <hyperlink ref="A71" location="Contents!A1" display="Back to contents" xr:uid="{00000000-0004-0000-13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H30"/>
  <sheetViews>
    <sheetView workbookViewId="0">
      <selection sqref="A1:H1"/>
    </sheetView>
  </sheetViews>
  <sheetFormatPr defaultRowHeight="14.75" customHeight="1" x14ac:dyDescent="0.35"/>
  <cols>
    <col min="1" max="1" width="85" customWidth="1"/>
    <col min="2" max="2" width="23" customWidth="1"/>
    <col min="3" max="8" width="14.36328125" customWidth="1"/>
  </cols>
  <sheetData>
    <row r="1" spans="1:8" ht="33.75" customHeight="1" x14ac:dyDescent="0.35">
      <c r="A1" s="96" t="s">
        <v>25</v>
      </c>
      <c r="B1" s="97"/>
      <c r="C1" s="97"/>
      <c r="D1" s="97"/>
      <c r="E1" s="97"/>
      <c r="F1" s="97"/>
      <c r="G1" s="97"/>
      <c r="H1" s="97"/>
    </row>
    <row r="2" spans="1:8" ht="14.5" x14ac:dyDescent="0.35">
      <c r="A2" s="36" t="s">
        <v>479</v>
      </c>
      <c r="B2" s="36" t="s">
        <v>294</v>
      </c>
      <c r="C2" s="37" t="s">
        <v>343</v>
      </c>
      <c r="D2" s="37" t="s">
        <v>344</v>
      </c>
      <c r="E2" s="37" t="s">
        <v>345</v>
      </c>
      <c r="F2" s="37" t="s">
        <v>346</v>
      </c>
      <c r="G2" s="37" t="s">
        <v>347</v>
      </c>
      <c r="H2" s="57" t="s">
        <v>1285</v>
      </c>
    </row>
    <row r="3" spans="1:8" ht="14.5" x14ac:dyDescent="0.35">
      <c r="A3" s="38" t="s">
        <v>480</v>
      </c>
      <c r="B3" s="38" t="s">
        <v>296</v>
      </c>
      <c r="C3" s="39">
        <v>62178</v>
      </c>
      <c r="D3" s="39">
        <v>827212</v>
      </c>
      <c r="E3" s="39">
        <v>1371594</v>
      </c>
      <c r="F3" s="39">
        <v>458835</v>
      </c>
      <c r="G3" s="39">
        <v>29877</v>
      </c>
      <c r="H3" s="39">
        <v>2749842</v>
      </c>
    </row>
    <row r="4" spans="1:8" ht="14.5" x14ac:dyDescent="0.35">
      <c r="A4" s="38" t="s">
        <v>481</v>
      </c>
      <c r="B4" s="38" t="s">
        <v>296</v>
      </c>
      <c r="C4" s="39">
        <v>14337</v>
      </c>
      <c r="D4" s="39">
        <v>663166</v>
      </c>
      <c r="E4" s="39">
        <v>2019690</v>
      </c>
      <c r="F4" s="39">
        <v>2196924</v>
      </c>
      <c r="G4" s="39">
        <v>429696</v>
      </c>
      <c r="H4" s="39">
        <v>5323935</v>
      </c>
    </row>
    <row r="5" spans="1:8" ht="14.5" x14ac:dyDescent="0.35">
      <c r="A5" s="38" t="s">
        <v>482</v>
      </c>
      <c r="B5" s="38" t="s">
        <v>296</v>
      </c>
      <c r="C5" s="39">
        <v>5421</v>
      </c>
      <c r="D5" s="39">
        <v>59332</v>
      </c>
      <c r="E5" s="39">
        <v>73120</v>
      </c>
      <c r="F5" s="39">
        <v>23935</v>
      </c>
      <c r="G5" s="39">
        <v>1946</v>
      </c>
      <c r="H5" s="39">
        <v>163805</v>
      </c>
    </row>
    <row r="6" spans="1:8" ht="14.5" x14ac:dyDescent="0.35">
      <c r="A6" s="38" t="s">
        <v>483</v>
      </c>
      <c r="B6" s="38" t="s">
        <v>296</v>
      </c>
      <c r="C6" s="39">
        <v>27</v>
      </c>
      <c r="D6" s="39">
        <v>6707</v>
      </c>
      <c r="E6" s="39">
        <v>135896</v>
      </c>
      <c r="F6" s="39">
        <v>210000</v>
      </c>
      <c r="G6" s="39">
        <v>61501</v>
      </c>
      <c r="H6" s="39">
        <v>416778</v>
      </c>
    </row>
    <row r="7" spans="1:8" ht="14.5" x14ac:dyDescent="0.35">
      <c r="A7" s="38" t="s">
        <v>484</v>
      </c>
      <c r="B7" s="38" t="s">
        <v>296</v>
      </c>
      <c r="C7" s="39">
        <v>1508</v>
      </c>
      <c r="D7" s="39">
        <v>46470</v>
      </c>
      <c r="E7" s="39">
        <v>173175</v>
      </c>
      <c r="F7" s="39">
        <v>134411</v>
      </c>
      <c r="G7" s="39">
        <v>20969</v>
      </c>
      <c r="H7" s="39">
        <v>376560</v>
      </c>
    </row>
    <row r="8" spans="1:8" ht="14.5" x14ac:dyDescent="0.35">
      <c r="A8" s="38" t="s">
        <v>485</v>
      </c>
      <c r="B8" s="38" t="s">
        <v>296</v>
      </c>
      <c r="C8" s="39">
        <v>3197</v>
      </c>
      <c r="D8" s="39">
        <v>1687</v>
      </c>
      <c r="E8" s="39">
        <v>622</v>
      </c>
      <c r="F8" s="39">
        <v>78</v>
      </c>
      <c r="G8" s="39">
        <v>11</v>
      </c>
      <c r="H8" s="39">
        <v>5599</v>
      </c>
    </row>
    <row r="9" spans="1:8" ht="14.5" x14ac:dyDescent="0.35">
      <c r="A9" s="38" t="s">
        <v>363</v>
      </c>
      <c r="B9" s="38" t="s">
        <v>296</v>
      </c>
      <c r="C9" s="39">
        <v>18</v>
      </c>
      <c r="D9" s="39">
        <v>3</v>
      </c>
      <c r="E9" s="39">
        <v>1</v>
      </c>
      <c r="F9" s="39">
        <v>5</v>
      </c>
      <c r="G9" s="39">
        <v>1308</v>
      </c>
      <c r="H9" s="39">
        <v>1401</v>
      </c>
    </row>
    <row r="10" spans="1:8" ht="14.5" x14ac:dyDescent="0.35">
      <c r="A10" s="38" t="s">
        <v>486</v>
      </c>
      <c r="B10" s="38" t="s">
        <v>296</v>
      </c>
      <c r="C10" s="39">
        <v>118</v>
      </c>
      <c r="D10" s="39">
        <v>3786</v>
      </c>
      <c r="E10" s="39">
        <v>15473</v>
      </c>
      <c r="F10" s="39">
        <v>26742</v>
      </c>
      <c r="G10" s="39">
        <v>9712</v>
      </c>
      <c r="H10" s="39">
        <v>55930</v>
      </c>
    </row>
    <row r="11" spans="1:8" ht="14.5" x14ac:dyDescent="0.35">
      <c r="A11" s="38" t="s">
        <v>332</v>
      </c>
      <c r="B11" s="38" t="s">
        <v>296</v>
      </c>
      <c r="C11" s="39">
        <v>27</v>
      </c>
      <c r="D11" s="39">
        <v>51</v>
      </c>
      <c r="E11" s="39">
        <v>105</v>
      </c>
      <c r="F11" s="39">
        <v>60</v>
      </c>
      <c r="G11" s="39">
        <v>201</v>
      </c>
      <c r="H11" s="39">
        <v>462</v>
      </c>
    </row>
    <row r="12" spans="1:8" ht="14.5" x14ac:dyDescent="0.35">
      <c r="A12" s="46" t="s">
        <v>304</v>
      </c>
      <c r="B12" s="46" t="s">
        <v>296</v>
      </c>
      <c r="C12" s="47">
        <v>86831</v>
      </c>
      <c r="D12" s="47">
        <v>1608414</v>
      </c>
      <c r="E12" s="47">
        <v>3789676</v>
      </c>
      <c r="F12" s="47">
        <v>3050990</v>
      </c>
      <c r="G12" s="47">
        <v>555221</v>
      </c>
      <c r="H12" s="47">
        <v>9094312</v>
      </c>
    </row>
    <row r="13" spans="1:8" ht="14.5" x14ac:dyDescent="0.35">
      <c r="A13" s="38" t="s">
        <v>480</v>
      </c>
      <c r="B13" s="38" t="s">
        <v>306</v>
      </c>
      <c r="C13" s="40">
        <v>71.608099999999993</v>
      </c>
      <c r="D13" s="40">
        <v>51.430300000000003</v>
      </c>
      <c r="E13" s="40">
        <v>36.192900000000002</v>
      </c>
      <c r="F13" s="40">
        <v>15.0389</v>
      </c>
      <c r="G13" s="40">
        <v>5.3811</v>
      </c>
      <c r="H13" s="40">
        <v>30.236899999999999</v>
      </c>
    </row>
    <row r="14" spans="1:8" ht="14.5" x14ac:dyDescent="0.35">
      <c r="A14" s="38" t="s">
        <v>481</v>
      </c>
      <c r="B14" s="38" t="s">
        <v>306</v>
      </c>
      <c r="C14" s="40">
        <v>16.511399999999998</v>
      </c>
      <c r="D14" s="40">
        <v>41.231099999999998</v>
      </c>
      <c r="E14" s="40">
        <v>53.294499999999999</v>
      </c>
      <c r="F14" s="40">
        <v>72.006900000000002</v>
      </c>
      <c r="G14" s="40">
        <v>77.391900000000007</v>
      </c>
      <c r="H14" s="40">
        <v>58.541400000000003</v>
      </c>
    </row>
    <row r="15" spans="1:8" ht="14.5" x14ac:dyDescent="0.35">
      <c r="A15" s="38" t="s">
        <v>482</v>
      </c>
      <c r="B15" s="38" t="s">
        <v>306</v>
      </c>
      <c r="C15" s="40">
        <v>6.2431999999999999</v>
      </c>
      <c r="D15" s="40">
        <v>3.6888999999999998</v>
      </c>
      <c r="E15" s="40">
        <v>1.9295</v>
      </c>
      <c r="F15" s="40">
        <v>0.78449999999999998</v>
      </c>
      <c r="G15" s="40">
        <v>0.35049999999999998</v>
      </c>
      <c r="H15" s="40">
        <v>1.8011999999999999</v>
      </c>
    </row>
    <row r="16" spans="1:8" ht="14.5" x14ac:dyDescent="0.35">
      <c r="A16" s="38" t="s">
        <v>483</v>
      </c>
      <c r="B16" s="38" t="s">
        <v>306</v>
      </c>
      <c r="C16" s="40">
        <v>3.1099999999999999E-2</v>
      </c>
      <c r="D16" s="40">
        <v>0.41699999999999998</v>
      </c>
      <c r="E16" s="40">
        <v>3.5859999999999999</v>
      </c>
      <c r="F16" s="40">
        <v>6.883</v>
      </c>
      <c r="G16" s="40">
        <v>11.0769</v>
      </c>
      <c r="H16" s="40">
        <v>4.5827999999999998</v>
      </c>
    </row>
    <row r="17" spans="1:8" ht="14.5" x14ac:dyDescent="0.35">
      <c r="A17" s="38" t="s">
        <v>484</v>
      </c>
      <c r="B17" s="38" t="s">
        <v>306</v>
      </c>
      <c r="C17" s="40">
        <v>1.7366999999999999</v>
      </c>
      <c r="D17" s="40">
        <v>2.8892000000000002</v>
      </c>
      <c r="E17" s="40">
        <v>4.5697000000000001</v>
      </c>
      <c r="F17" s="40">
        <v>4.4055</v>
      </c>
      <c r="G17" s="40">
        <v>3.7766999999999999</v>
      </c>
      <c r="H17" s="40">
        <v>4.1406000000000001</v>
      </c>
    </row>
    <row r="18" spans="1:8" ht="14.5" x14ac:dyDescent="0.35">
      <c r="A18" s="38" t="s">
        <v>485</v>
      </c>
      <c r="B18" s="38" t="s">
        <v>306</v>
      </c>
      <c r="C18" s="40">
        <v>3.6819000000000002</v>
      </c>
      <c r="D18" s="40">
        <v>0.10489999999999999</v>
      </c>
      <c r="E18" s="40">
        <v>1.6400000000000001E-2</v>
      </c>
      <c r="F18" s="40">
        <v>2.5999999999999999E-3</v>
      </c>
      <c r="G18" s="40">
        <v>2E-3</v>
      </c>
      <c r="H18" s="40">
        <v>6.1600000000000002E-2</v>
      </c>
    </row>
    <row r="19" spans="1:8" ht="14.5" x14ac:dyDescent="0.35">
      <c r="A19" s="38" t="s">
        <v>363</v>
      </c>
      <c r="B19" s="38" t="s">
        <v>306</v>
      </c>
      <c r="C19" s="40">
        <v>2.07E-2</v>
      </c>
      <c r="D19" s="40">
        <v>2.0000000000000001E-4</v>
      </c>
      <c r="E19" s="40">
        <v>0</v>
      </c>
      <c r="F19" s="40">
        <v>2.0000000000000001E-4</v>
      </c>
      <c r="G19" s="40">
        <v>0.2356</v>
      </c>
      <c r="H19" s="40">
        <v>1.54E-2</v>
      </c>
    </row>
    <row r="20" spans="1:8" ht="14.5" x14ac:dyDescent="0.35">
      <c r="A20" s="38" t="s">
        <v>486</v>
      </c>
      <c r="B20" s="38" t="s">
        <v>306</v>
      </c>
      <c r="C20" s="40">
        <v>0.13589999999999999</v>
      </c>
      <c r="D20" s="40">
        <v>0.2354</v>
      </c>
      <c r="E20" s="40">
        <v>0.4083</v>
      </c>
      <c r="F20" s="40">
        <v>0.87649999999999995</v>
      </c>
      <c r="G20" s="40">
        <v>1.7492000000000001</v>
      </c>
      <c r="H20" s="40">
        <v>0.61499999999999999</v>
      </c>
    </row>
    <row r="21" spans="1:8" ht="14.5" x14ac:dyDescent="0.35">
      <c r="A21" s="38" t="s">
        <v>332</v>
      </c>
      <c r="B21" s="38" t="s">
        <v>306</v>
      </c>
      <c r="C21" s="40">
        <v>3.1099999999999999E-2</v>
      </c>
      <c r="D21" s="40">
        <v>3.2000000000000002E-3</v>
      </c>
      <c r="E21" s="40">
        <v>2.8E-3</v>
      </c>
      <c r="F21" s="40">
        <v>2E-3</v>
      </c>
      <c r="G21" s="40">
        <v>3.6200000000000003E-2</v>
      </c>
      <c r="H21" s="40">
        <v>5.1000000000000004E-3</v>
      </c>
    </row>
    <row r="22" spans="1:8" ht="14.5" x14ac:dyDescent="0.35">
      <c r="A22" s="41" t="s">
        <v>304</v>
      </c>
      <c r="B22" s="41" t="s">
        <v>306</v>
      </c>
      <c r="C22" s="43">
        <v>100</v>
      </c>
      <c r="D22" s="43">
        <v>100</v>
      </c>
      <c r="E22" s="43">
        <v>100</v>
      </c>
      <c r="F22" s="43">
        <v>100</v>
      </c>
      <c r="G22" s="43">
        <v>100</v>
      </c>
      <c r="H22" s="43">
        <v>100</v>
      </c>
    </row>
    <row r="23" spans="1:8" ht="14.5" x14ac:dyDescent="0.35">
      <c r="A23" s="98" t="s">
        <v>487</v>
      </c>
      <c r="B23" s="99"/>
      <c r="C23" s="99"/>
      <c r="D23" s="99"/>
      <c r="E23" s="99"/>
      <c r="F23" s="99"/>
      <c r="G23" s="99"/>
      <c r="H23" s="99"/>
    </row>
    <row r="24" spans="1:8" ht="14.5" x14ac:dyDescent="0.35">
      <c r="A24" s="44"/>
      <c r="B24" s="35"/>
      <c r="C24" s="35"/>
      <c r="D24" s="35"/>
      <c r="E24" s="35"/>
      <c r="F24" s="35"/>
      <c r="G24" s="35"/>
      <c r="H24" s="35"/>
    </row>
    <row r="25" spans="1:8" ht="14.5" x14ac:dyDescent="0.35">
      <c r="A25" s="35" t="s">
        <v>290</v>
      </c>
      <c r="B25" s="35"/>
      <c r="C25" s="35"/>
      <c r="D25" s="35"/>
      <c r="E25" s="35"/>
      <c r="F25" s="35"/>
      <c r="G25" s="35"/>
      <c r="H25" s="35"/>
    </row>
    <row r="26" spans="1:8" ht="14.5" x14ac:dyDescent="0.35">
      <c r="A26" s="45" t="s">
        <v>291</v>
      </c>
      <c r="B26" s="35"/>
      <c r="C26" s="35"/>
      <c r="D26" s="35"/>
      <c r="E26" s="35"/>
      <c r="F26" s="35"/>
      <c r="G26" s="35"/>
      <c r="H26" s="35"/>
    </row>
    <row r="27" spans="1:8" ht="14.5" x14ac:dyDescent="0.35">
      <c r="A27" s="35"/>
      <c r="B27" s="35"/>
      <c r="C27" s="35"/>
      <c r="D27" s="35"/>
      <c r="E27" s="35"/>
      <c r="F27" s="35"/>
      <c r="G27" s="35"/>
      <c r="H27" s="35"/>
    </row>
    <row r="28" spans="1:8" ht="14.5" x14ac:dyDescent="0.35">
      <c r="A28" s="45" t="s">
        <v>3</v>
      </c>
      <c r="B28" s="35"/>
      <c r="C28" s="35"/>
      <c r="D28" s="35"/>
      <c r="E28" s="35"/>
      <c r="F28" s="35"/>
      <c r="G28" s="35"/>
      <c r="H28" s="35"/>
    </row>
    <row r="29" spans="1:8" ht="14.5" x14ac:dyDescent="0.35">
      <c r="A29" s="35"/>
      <c r="B29" s="35"/>
      <c r="C29" s="35"/>
      <c r="D29" s="35"/>
      <c r="E29" s="35"/>
      <c r="F29" s="35"/>
      <c r="G29" s="35"/>
      <c r="H29" s="35"/>
    </row>
    <row r="30" spans="1:8" ht="14.5" x14ac:dyDescent="0.35">
      <c r="A30" s="45" t="s">
        <v>292</v>
      </c>
      <c r="B30" s="35"/>
      <c r="C30" s="35"/>
      <c r="D30" s="35"/>
      <c r="E30" s="35"/>
      <c r="F30" s="35"/>
      <c r="G30" s="35"/>
      <c r="H30" s="35"/>
    </row>
  </sheetData>
  <mergeCells count="2">
    <mergeCell ref="A23:H23"/>
    <mergeCell ref="A1:H1"/>
  </mergeCells>
  <hyperlinks>
    <hyperlink ref="A26" r:id="rId1" xr:uid="{00000000-0004-0000-1400-000000000000}"/>
    <hyperlink ref="A28" location="'Technical specifications'!A1" display="Technical specifications" xr:uid="{00000000-0004-0000-1400-000001000000}"/>
    <hyperlink ref="A30" location="Contents!A1" display="Back to contents" xr:uid="{00000000-0004-0000-1400-000002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J21"/>
  <sheetViews>
    <sheetView workbookViewId="0">
      <selection sqref="A1:J1"/>
    </sheetView>
  </sheetViews>
  <sheetFormatPr defaultRowHeight="14.75" customHeight="1" x14ac:dyDescent="0.35"/>
  <cols>
    <col min="1" max="1" width="85" customWidth="1"/>
    <col min="2" max="10" width="8.453125" customWidth="1"/>
  </cols>
  <sheetData>
    <row r="1" spans="1:10" ht="33.75" customHeight="1" x14ac:dyDescent="0.35">
      <c r="A1" s="96" t="s">
        <v>26</v>
      </c>
      <c r="B1" s="97"/>
      <c r="C1" s="97"/>
      <c r="D1" s="97"/>
      <c r="E1" s="97"/>
      <c r="F1" s="97"/>
      <c r="G1" s="97"/>
      <c r="H1" s="97"/>
      <c r="I1" s="97"/>
      <c r="J1" s="97"/>
    </row>
    <row r="2" spans="1:10" ht="14.5" x14ac:dyDescent="0.35">
      <c r="A2" s="36" t="s">
        <v>479</v>
      </c>
      <c r="B2" s="37" t="s">
        <v>295</v>
      </c>
      <c r="C2" s="37" t="s">
        <v>297</v>
      </c>
      <c r="D2" s="37" t="s">
        <v>298</v>
      </c>
      <c r="E2" s="57" t="s">
        <v>1288</v>
      </c>
      <c r="F2" s="57" t="s">
        <v>1289</v>
      </c>
      <c r="G2" s="37" t="s">
        <v>301</v>
      </c>
      <c r="H2" s="37" t="s">
        <v>302</v>
      </c>
      <c r="I2" s="37" t="s">
        <v>303</v>
      </c>
      <c r="J2" s="37" t="s">
        <v>304</v>
      </c>
    </row>
    <row r="3" spans="1:10" ht="14.5" x14ac:dyDescent="0.35">
      <c r="A3" s="38" t="s">
        <v>480</v>
      </c>
      <c r="B3" s="39">
        <v>788802</v>
      </c>
      <c r="C3" s="39">
        <v>742650</v>
      </c>
      <c r="D3" s="39">
        <v>603356</v>
      </c>
      <c r="E3" s="39">
        <v>246309</v>
      </c>
      <c r="F3" s="39">
        <v>180697</v>
      </c>
      <c r="G3" s="39">
        <v>55034</v>
      </c>
      <c r="H3" s="39">
        <v>72060</v>
      </c>
      <c r="I3" s="39">
        <v>60934</v>
      </c>
      <c r="J3" s="39">
        <v>2749842</v>
      </c>
    </row>
    <row r="4" spans="1:10" ht="14.5" x14ac:dyDescent="0.35">
      <c r="A4" s="38" t="s">
        <v>481</v>
      </c>
      <c r="B4" s="39">
        <v>1993956</v>
      </c>
      <c r="C4" s="39">
        <v>1020831</v>
      </c>
      <c r="D4" s="39">
        <v>982847</v>
      </c>
      <c r="E4" s="39">
        <v>654800</v>
      </c>
      <c r="F4" s="39">
        <v>364154</v>
      </c>
      <c r="G4" s="39">
        <v>117473</v>
      </c>
      <c r="H4" s="39">
        <v>86926</v>
      </c>
      <c r="I4" s="39">
        <v>102948</v>
      </c>
      <c r="J4" s="39">
        <v>5323935</v>
      </c>
    </row>
    <row r="5" spans="1:10" ht="14.5" x14ac:dyDescent="0.35">
      <c r="A5" s="38" t="s">
        <v>482</v>
      </c>
      <c r="B5" s="39">
        <v>77823</v>
      </c>
      <c r="C5" s="39">
        <v>29139</v>
      </c>
      <c r="D5" s="39">
        <v>19208</v>
      </c>
      <c r="E5" s="39">
        <v>18267</v>
      </c>
      <c r="F5" s="39">
        <v>12626</v>
      </c>
      <c r="G5" s="39">
        <v>939</v>
      </c>
      <c r="H5" s="39">
        <v>1487</v>
      </c>
      <c r="I5" s="39">
        <v>4316</v>
      </c>
      <c r="J5" s="39">
        <v>163805</v>
      </c>
    </row>
    <row r="6" spans="1:10" ht="14.5" x14ac:dyDescent="0.35">
      <c r="A6" s="38" t="s">
        <v>483</v>
      </c>
      <c r="B6" s="39">
        <v>126317</v>
      </c>
      <c r="C6" s="39">
        <v>104679</v>
      </c>
      <c r="D6" s="39">
        <v>52099</v>
      </c>
      <c r="E6" s="39">
        <v>78724</v>
      </c>
      <c r="F6" s="39">
        <v>25513</v>
      </c>
      <c r="G6" s="39">
        <v>7615</v>
      </c>
      <c r="H6" s="39">
        <v>4669</v>
      </c>
      <c r="I6" s="39">
        <v>17162</v>
      </c>
      <c r="J6" s="39">
        <v>416778</v>
      </c>
    </row>
    <row r="7" spans="1:10" ht="14.5" x14ac:dyDescent="0.35">
      <c r="A7" s="38" t="s">
        <v>484</v>
      </c>
      <c r="B7" s="39">
        <v>141505</v>
      </c>
      <c r="C7" s="39">
        <v>79762</v>
      </c>
      <c r="D7" s="39">
        <v>105312</v>
      </c>
      <c r="E7" s="39">
        <v>18707</v>
      </c>
      <c r="F7" s="39">
        <v>24441</v>
      </c>
      <c r="G7" s="39">
        <v>1737</v>
      </c>
      <c r="H7" s="39">
        <v>2387</v>
      </c>
      <c r="I7" s="39">
        <v>2709</v>
      </c>
      <c r="J7" s="39">
        <v>376560</v>
      </c>
    </row>
    <row r="8" spans="1:10" ht="14.5" x14ac:dyDescent="0.35">
      <c r="A8" s="38" t="s">
        <v>485</v>
      </c>
      <c r="B8" s="39">
        <v>2312</v>
      </c>
      <c r="C8" s="39">
        <v>1147</v>
      </c>
      <c r="D8" s="39">
        <v>916</v>
      </c>
      <c r="E8" s="39">
        <v>660</v>
      </c>
      <c r="F8" s="39">
        <v>281</v>
      </c>
      <c r="G8" s="39">
        <v>175</v>
      </c>
      <c r="H8" s="39">
        <v>71</v>
      </c>
      <c r="I8" s="39">
        <v>37</v>
      </c>
      <c r="J8" s="39">
        <v>5599</v>
      </c>
    </row>
    <row r="9" spans="1:10" ht="14.5" x14ac:dyDescent="0.35">
      <c r="A9" s="38" t="s">
        <v>363</v>
      </c>
      <c r="B9" s="39">
        <v>1317</v>
      </c>
      <c r="C9" s="39">
        <v>59</v>
      </c>
      <c r="D9" s="39">
        <v>9</v>
      </c>
      <c r="E9" s="39">
        <v>0</v>
      </c>
      <c r="F9" s="39">
        <v>1</v>
      </c>
      <c r="G9" s="39">
        <v>4</v>
      </c>
      <c r="H9" s="39">
        <v>0</v>
      </c>
      <c r="I9" s="39">
        <v>11</v>
      </c>
      <c r="J9" s="39">
        <v>1401</v>
      </c>
    </row>
    <row r="10" spans="1:10" ht="14.5" x14ac:dyDescent="0.35">
      <c r="A10" s="38" t="s">
        <v>486</v>
      </c>
      <c r="B10" s="39">
        <v>28117</v>
      </c>
      <c r="C10" s="39">
        <v>0</v>
      </c>
      <c r="D10" s="39">
        <v>3092</v>
      </c>
      <c r="E10" s="39">
        <v>9421</v>
      </c>
      <c r="F10" s="39">
        <v>15159</v>
      </c>
      <c r="G10" s="39">
        <v>141</v>
      </c>
      <c r="H10" s="39">
        <v>0</v>
      </c>
      <c r="I10" s="39">
        <v>0</v>
      </c>
      <c r="J10" s="39">
        <v>55930</v>
      </c>
    </row>
    <row r="11" spans="1:10" ht="14.5" x14ac:dyDescent="0.35">
      <c r="A11" s="38" t="s">
        <v>332</v>
      </c>
      <c r="B11" s="39">
        <v>324</v>
      </c>
      <c r="C11" s="39">
        <v>0</v>
      </c>
      <c r="D11" s="39">
        <v>0</v>
      </c>
      <c r="E11" s="39">
        <v>129</v>
      </c>
      <c r="F11" s="39">
        <v>4</v>
      </c>
      <c r="G11" s="39">
        <v>2</v>
      </c>
      <c r="H11" s="39">
        <v>3</v>
      </c>
      <c r="I11" s="39">
        <v>0</v>
      </c>
      <c r="J11" s="39">
        <v>462</v>
      </c>
    </row>
    <row r="12" spans="1:10" ht="14.5" x14ac:dyDescent="0.35">
      <c r="A12" s="41" t="s">
        <v>304</v>
      </c>
      <c r="B12" s="42">
        <v>3160473</v>
      </c>
      <c r="C12" s="42">
        <v>1978267</v>
      </c>
      <c r="D12" s="42">
        <v>1766839</v>
      </c>
      <c r="E12" s="42">
        <v>1027017</v>
      </c>
      <c r="F12" s="42">
        <v>622876</v>
      </c>
      <c r="G12" s="42">
        <v>183120</v>
      </c>
      <c r="H12" s="42">
        <v>167603</v>
      </c>
      <c r="I12" s="42">
        <v>188117</v>
      </c>
      <c r="J12" s="42">
        <v>9094312</v>
      </c>
    </row>
    <row r="13" spans="1:10" ht="14.5" x14ac:dyDescent="0.35">
      <c r="A13" s="100" t="s">
        <v>488</v>
      </c>
      <c r="B13" s="99"/>
      <c r="C13" s="99"/>
      <c r="D13" s="99"/>
      <c r="E13" s="99"/>
      <c r="F13" s="99"/>
      <c r="G13" s="99"/>
      <c r="H13" s="99"/>
      <c r="I13" s="99"/>
      <c r="J13" s="99"/>
    </row>
    <row r="14" spans="1:10" ht="14.5" x14ac:dyDescent="0.35">
      <c r="A14" s="100" t="s">
        <v>489</v>
      </c>
      <c r="B14" s="99"/>
      <c r="C14" s="99"/>
      <c r="D14" s="99"/>
      <c r="E14" s="99"/>
      <c r="F14" s="99"/>
      <c r="G14" s="99"/>
      <c r="H14" s="99"/>
      <c r="I14" s="99"/>
      <c r="J14" s="99"/>
    </row>
    <row r="15" spans="1:10" ht="14.5" x14ac:dyDescent="0.35">
      <c r="A15" s="44"/>
      <c r="B15" s="35"/>
      <c r="C15" s="35"/>
      <c r="D15" s="35"/>
      <c r="E15" s="35"/>
      <c r="F15" s="35"/>
      <c r="G15" s="35"/>
      <c r="H15" s="35"/>
      <c r="I15" s="35"/>
      <c r="J15" s="35"/>
    </row>
    <row r="16" spans="1:10" ht="14.5" x14ac:dyDescent="0.35">
      <c r="A16" s="35" t="s">
        <v>290</v>
      </c>
      <c r="B16" s="35"/>
      <c r="C16" s="35"/>
      <c r="D16" s="35"/>
      <c r="E16" s="35"/>
      <c r="F16" s="35"/>
      <c r="G16" s="35"/>
      <c r="H16" s="35"/>
      <c r="I16" s="35"/>
      <c r="J16" s="35"/>
    </row>
    <row r="17" spans="1:10" ht="14.5" x14ac:dyDescent="0.35">
      <c r="A17" s="45" t="s">
        <v>291</v>
      </c>
      <c r="B17" s="35"/>
      <c r="C17" s="35"/>
      <c r="D17" s="35"/>
      <c r="E17" s="35"/>
      <c r="F17" s="35"/>
      <c r="G17" s="35"/>
      <c r="H17" s="35"/>
      <c r="I17" s="35"/>
      <c r="J17" s="35"/>
    </row>
    <row r="18" spans="1:10" ht="14.5" x14ac:dyDescent="0.35">
      <c r="A18" s="35"/>
      <c r="B18" s="35"/>
      <c r="C18" s="35"/>
      <c r="D18" s="35"/>
      <c r="E18" s="35"/>
      <c r="F18" s="35"/>
      <c r="G18" s="35"/>
      <c r="H18" s="35"/>
      <c r="I18" s="35"/>
      <c r="J18" s="35"/>
    </row>
    <row r="19" spans="1:10" ht="14.5" x14ac:dyDescent="0.35">
      <c r="A19" s="45" t="s">
        <v>3</v>
      </c>
      <c r="B19" s="35"/>
      <c r="C19" s="35"/>
      <c r="D19" s="35"/>
      <c r="E19" s="35"/>
      <c r="F19" s="35"/>
      <c r="G19" s="35"/>
      <c r="H19" s="35"/>
      <c r="I19" s="35"/>
      <c r="J19" s="35"/>
    </row>
    <row r="20" spans="1:10" ht="14.5" x14ac:dyDescent="0.35">
      <c r="A20" s="35"/>
      <c r="B20" s="35"/>
      <c r="C20" s="35"/>
      <c r="D20" s="35"/>
      <c r="E20" s="35"/>
      <c r="F20" s="35"/>
      <c r="G20" s="35"/>
      <c r="H20" s="35"/>
      <c r="I20" s="35"/>
      <c r="J20" s="35"/>
    </row>
    <row r="21" spans="1:10" ht="14.5" x14ac:dyDescent="0.35">
      <c r="A21" s="45" t="s">
        <v>292</v>
      </c>
      <c r="B21" s="35"/>
      <c r="C21" s="35"/>
      <c r="D21" s="35"/>
      <c r="E21" s="35"/>
      <c r="F21" s="35"/>
      <c r="G21" s="35"/>
      <c r="H21" s="35"/>
      <c r="I21" s="35"/>
      <c r="J21" s="35"/>
    </row>
  </sheetData>
  <mergeCells count="3">
    <mergeCell ref="A1:J1"/>
    <mergeCell ref="A13:J13"/>
    <mergeCell ref="A14:J14"/>
  </mergeCells>
  <hyperlinks>
    <hyperlink ref="A17" r:id="rId1" xr:uid="{00000000-0004-0000-1500-000000000000}"/>
    <hyperlink ref="A19" location="'Technical specifications'!A1" display="Technical specifications" xr:uid="{00000000-0004-0000-1500-000001000000}"/>
    <hyperlink ref="A21" location="Contents!A1" display="Back to contents" xr:uid="{00000000-0004-0000-15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J18"/>
  <sheetViews>
    <sheetView workbookViewId="0">
      <selection sqref="A1:J1"/>
    </sheetView>
  </sheetViews>
  <sheetFormatPr defaultRowHeight="14.75" customHeight="1" x14ac:dyDescent="0.35"/>
  <cols>
    <col min="1" max="1" width="15" customWidth="1"/>
    <col min="2" max="10" width="8.453125" customWidth="1"/>
  </cols>
  <sheetData>
    <row r="1" spans="1:10" ht="33.75" customHeight="1" x14ac:dyDescent="0.35">
      <c r="A1" s="96" t="s">
        <v>490</v>
      </c>
      <c r="B1" s="97"/>
      <c r="C1" s="97"/>
      <c r="D1" s="97"/>
      <c r="E1" s="97"/>
      <c r="F1" s="97"/>
      <c r="G1" s="97"/>
      <c r="H1" s="97"/>
      <c r="I1" s="97"/>
      <c r="J1" s="97"/>
    </row>
    <row r="2" spans="1:10" ht="14.5" x14ac:dyDescent="0.35">
      <c r="A2" s="36" t="s">
        <v>337</v>
      </c>
      <c r="B2" s="37" t="s">
        <v>295</v>
      </c>
      <c r="C2" s="37" t="s">
        <v>297</v>
      </c>
      <c r="D2" s="37" t="s">
        <v>298</v>
      </c>
      <c r="E2" s="37" t="s">
        <v>299</v>
      </c>
      <c r="F2" s="37" t="s">
        <v>300</v>
      </c>
      <c r="G2" s="37" t="s">
        <v>301</v>
      </c>
      <c r="H2" s="37" t="s">
        <v>302</v>
      </c>
      <c r="I2" s="37" t="s">
        <v>303</v>
      </c>
      <c r="J2" s="37" t="s">
        <v>304</v>
      </c>
    </row>
    <row r="3" spans="1:10" ht="14.5" x14ac:dyDescent="0.35">
      <c r="A3" s="38" t="s">
        <v>343</v>
      </c>
      <c r="B3" s="39">
        <v>66.786199999999994</v>
      </c>
      <c r="C3" s="39">
        <v>73.086299999999994</v>
      </c>
      <c r="D3" s="39">
        <v>76.238500000000002</v>
      </c>
      <c r="E3" s="39">
        <v>68.888900000000007</v>
      </c>
      <c r="F3" s="39">
        <v>73.171599999999998</v>
      </c>
      <c r="G3" s="39">
        <v>73.747399999999999</v>
      </c>
      <c r="H3" s="39">
        <v>78.9679</v>
      </c>
      <c r="I3" s="39">
        <v>77.528099999999995</v>
      </c>
      <c r="J3" s="39">
        <v>71.512200000000007</v>
      </c>
    </row>
    <row r="4" spans="1:10" ht="14.5" x14ac:dyDescent="0.35">
      <c r="A4" s="38" t="s">
        <v>344</v>
      </c>
      <c r="B4" s="39">
        <v>45.281199999999998</v>
      </c>
      <c r="C4" s="39">
        <v>60.511899999999997</v>
      </c>
      <c r="D4" s="39">
        <v>51.174399999999999</v>
      </c>
      <c r="E4" s="39">
        <v>46.9039</v>
      </c>
      <c r="F4" s="39">
        <v>51.740200000000002</v>
      </c>
      <c r="G4" s="39">
        <v>53.533999999999999</v>
      </c>
      <c r="H4" s="39">
        <v>70.134399999999999</v>
      </c>
      <c r="I4" s="39">
        <v>55.445500000000003</v>
      </c>
      <c r="J4" s="39">
        <v>51.371699999999997</v>
      </c>
    </row>
    <row r="5" spans="1:10" ht="14.5" x14ac:dyDescent="0.35">
      <c r="A5" s="38" t="s">
        <v>345</v>
      </c>
      <c r="B5" s="39">
        <v>31.959</v>
      </c>
      <c r="C5" s="39">
        <v>43.2517</v>
      </c>
      <c r="D5" s="39">
        <v>37.599499999999999</v>
      </c>
      <c r="E5" s="39">
        <v>28.6386</v>
      </c>
      <c r="F5" s="39">
        <v>32.885100000000001</v>
      </c>
      <c r="G5" s="39">
        <v>34.119399999999999</v>
      </c>
      <c r="H5" s="39">
        <v>50.390099999999997</v>
      </c>
      <c r="I5" s="39">
        <v>44.118000000000002</v>
      </c>
      <c r="J5" s="39">
        <v>36.088900000000002</v>
      </c>
    </row>
    <row r="6" spans="1:10" ht="14.5" x14ac:dyDescent="0.35">
      <c r="A6" s="38" t="s">
        <v>346</v>
      </c>
      <c r="B6" s="39">
        <v>11.873200000000001</v>
      </c>
      <c r="C6" s="39">
        <v>21.3565</v>
      </c>
      <c r="D6" s="39">
        <v>15.718400000000001</v>
      </c>
      <c r="E6" s="39">
        <v>10.791399999999999</v>
      </c>
      <c r="F6" s="39">
        <v>14.341100000000001</v>
      </c>
      <c r="G6" s="39">
        <v>12.8592</v>
      </c>
      <c r="H6" s="39">
        <v>27.4834</v>
      </c>
      <c r="I6" s="39">
        <v>17.1905</v>
      </c>
      <c r="J6" s="39">
        <v>14.9635</v>
      </c>
    </row>
    <row r="7" spans="1:10" ht="14.5" x14ac:dyDescent="0.35">
      <c r="A7" s="38" t="s">
        <v>347</v>
      </c>
      <c r="B7" s="39">
        <v>4.6116000000000001</v>
      </c>
      <c r="C7" s="39">
        <v>5.9622999999999999</v>
      </c>
      <c r="D7" s="39">
        <v>6.4222999999999999</v>
      </c>
      <c r="E7" s="39">
        <v>3.3258000000000001</v>
      </c>
      <c r="F7" s="39">
        <v>4.2697000000000003</v>
      </c>
      <c r="G7" s="39">
        <v>5.0237999999999996</v>
      </c>
      <c r="H7" s="39">
        <v>10.2182</v>
      </c>
      <c r="I7" s="39">
        <v>6.7591999999999999</v>
      </c>
      <c r="J7" s="39">
        <v>5.1228999999999996</v>
      </c>
    </row>
    <row r="8" spans="1:10" ht="14.5" x14ac:dyDescent="0.35">
      <c r="A8" s="59" t="s">
        <v>1281</v>
      </c>
      <c r="B8" s="42">
        <v>25.0274</v>
      </c>
      <c r="C8" s="42">
        <v>37.588999999999999</v>
      </c>
      <c r="D8" s="42">
        <v>33.970999999999997</v>
      </c>
      <c r="E8" s="42">
        <v>24.1294</v>
      </c>
      <c r="F8" s="42">
        <v>29.014299999999999</v>
      </c>
      <c r="G8" s="42">
        <v>30.151399999999999</v>
      </c>
      <c r="H8" s="42">
        <v>42.950499999999998</v>
      </c>
      <c r="I8" s="42">
        <v>32.519500000000001</v>
      </c>
      <c r="J8" s="42">
        <v>30.286200000000001</v>
      </c>
    </row>
    <row r="9" spans="1:10" ht="14.5" x14ac:dyDescent="0.35">
      <c r="A9" s="100" t="s">
        <v>491</v>
      </c>
      <c r="B9" s="99"/>
      <c r="C9" s="99"/>
      <c r="D9" s="99"/>
      <c r="E9" s="99"/>
      <c r="F9" s="99"/>
      <c r="G9" s="99"/>
      <c r="H9" s="99"/>
      <c r="I9" s="99"/>
      <c r="J9" s="99"/>
    </row>
    <row r="10" spans="1:10" ht="19.5" customHeight="1" x14ac:dyDescent="0.35">
      <c r="A10" s="100" t="s">
        <v>492</v>
      </c>
      <c r="B10" s="99"/>
      <c r="C10" s="99"/>
      <c r="D10" s="99"/>
      <c r="E10" s="99"/>
      <c r="F10" s="99"/>
      <c r="G10" s="99"/>
      <c r="H10" s="99"/>
      <c r="I10" s="99"/>
      <c r="J10" s="99"/>
    </row>
    <row r="11" spans="1:10" ht="14.5" x14ac:dyDescent="0.35">
      <c r="A11" s="100" t="s">
        <v>493</v>
      </c>
      <c r="B11" s="99"/>
      <c r="C11" s="99"/>
      <c r="D11" s="99"/>
      <c r="E11" s="99"/>
      <c r="F11" s="99"/>
      <c r="G11" s="99"/>
      <c r="H11" s="99"/>
      <c r="I11" s="99"/>
      <c r="J11" s="99"/>
    </row>
    <row r="12" spans="1:10" ht="14.5" x14ac:dyDescent="0.35">
      <c r="A12" s="44"/>
      <c r="B12" s="35"/>
      <c r="C12" s="35"/>
      <c r="D12" s="35"/>
      <c r="E12" s="35"/>
      <c r="F12" s="35"/>
      <c r="G12" s="35"/>
      <c r="H12" s="35"/>
      <c r="I12" s="35"/>
      <c r="J12" s="35"/>
    </row>
    <row r="13" spans="1:10" ht="14.5" x14ac:dyDescent="0.35">
      <c r="A13" s="35" t="s">
        <v>290</v>
      </c>
      <c r="B13" s="35"/>
      <c r="C13" s="35"/>
      <c r="D13" s="35"/>
      <c r="E13" s="35"/>
      <c r="F13" s="35"/>
      <c r="G13" s="35"/>
      <c r="H13" s="35"/>
      <c r="I13" s="35"/>
      <c r="J13" s="35"/>
    </row>
    <row r="14" spans="1:10" ht="14.5" x14ac:dyDescent="0.35">
      <c r="A14" s="45" t="s">
        <v>291</v>
      </c>
      <c r="B14" s="35"/>
      <c r="C14" s="35"/>
      <c r="D14" s="35"/>
      <c r="E14" s="35"/>
      <c r="F14" s="35"/>
      <c r="G14" s="35"/>
      <c r="H14" s="35"/>
      <c r="I14" s="35"/>
      <c r="J14" s="35"/>
    </row>
    <row r="15" spans="1:10" ht="14.5" x14ac:dyDescent="0.35">
      <c r="A15" s="35"/>
      <c r="B15" s="35"/>
      <c r="C15" s="35"/>
      <c r="D15" s="35"/>
      <c r="E15" s="35"/>
      <c r="F15" s="35"/>
      <c r="G15" s="35"/>
      <c r="H15" s="35"/>
      <c r="I15" s="35"/>
      <c r="J15" s="35"/>
    </row>
    <row r="16" spans="1:10" ht="14.5" x14ac:dyDescent="0.35">
      <c r="A16" s="45" t="s">
        <v>3</v>
      </c>
      <c r="B16" s="35"/>
      <c r="C16" s="35"/>
      <c r="D16" s="35"/>
      <c r="E16" s="35"/>
      <c r="F16" s="35"/>
      <c r="G16" s="35"/>
      <c r="H16" s="35"/>
      <c r="I16" s="35"/>
      <c r="J16" s="35"/>
    </row>
    <row r="17" spans="1:10" ht="14.5" x14ac:dyDescent="0.35">
      <c r="A17" s="35"/>
      <c r="B17" s="35"/>
      <c r="C17" s="35"/>
      <c r="D17" s="35"/>
      <c r="E17" s="35"/>
      <c r="F17" s="35"/>
      <c r="G17" s="35"/>
      <c r="H17" s="35"/>
      <c r="I17" s="35"/>
      <c r="J17" s="35"/>
    </row>
    <row r="18" spans="1:10" ht="14.5" x14ac:dyDescent="0.35">
      <c r="A18" s="45" t="s">
        <v>292</v>
      </c>
      <c r="B18" s="35"/>
      <c r="C18" s="35"/>
      <c r="D18" s="35"/>
      <c r="E18" s="35"/>
      <c r="F18" s="35"/>
      <c r="G18" s="35"/>
      <c r="H18" s="35"/>
      <c r="I18" s="35"/>
      <c r="J18" s="35"/>
    </row>
  </sheetData>
  <mergeCells count="4">
    <mergeCell ref="A1:J1"/>
    <mergeCell ref="A9:J9"/>
    <mergeCell ref="A10:J10"/>
    <mergeCell ref="A11:J11"/>
  </mergeCells>
  <hyperlinks>
    <hyperlink ref="A14" r:id="rId1" xr:uid="{00000000-0004-0000-1600-000000000000}"/>
    <hyperlink ref="A16" location="'Technical specifications'!A1" display="Technical specifications" xr:uid="{00000000-0004-0000-1600-000001000000}"/>
    <hyperlink ref="A18" location="Contents!A1" display="Back to contents" xr:uid="{00000000-0004-0000-16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H37"/>
  <sheetViews>
    <sheetView workbookViewId="0">
      <selection sqref="A1:H1"/>
    </sheetView>
  </sheetViews>
  <sheetFormatPr defaultRowHeight="14.75" customHeight="1" x14ac:dyDescent="0.35"/>
  <cols>
    <col min="1" max="1" width="9" customWidth="1"/>
    <col min="2" max="2" width="14" customWidth="1"/>
    <col min="3" max="8" width="20" customWidth="1"/>
  </cols>
  <sheetData>
    <row r="1" spans="1:8" ht="33.75" customHeight="1" x14ac:dyDescent="0.35">
      <c r="A1" s="96" t="s">
        <v>28</v>
      </c>
      <c r="B1" s="97"/>
      <c r="C1" s="97"/>
      <c r="D1" s="97"/>
      <c r="E1" s="97"/>
      <c r="F1" s="97"/>
      <c r="G1" s="97"/>
      <c r="H1" s="97"/>
    </row>
    <row r="2" spans="1:8" ht="22" x14ac:dyDescent="0.35">
      <c r="A2" s="36" t="s">
        <v>308</v>
      </c>
      <c r="B2" s="36" t="s">
        <v>294</v>
      </c>
      <c r="C2" s="37" t="s">
        <v>494</v>
      </c>
      <c r="D2" s="37" t="s">
        <v>481</v>
      </c>
      <c r="E2" s="37" t="s">
        <v>482</v>
      </c>
      <c r="F2" s="37" t="s">
        <v>483</v>
      </c>
      <c r="G2" s="57" t="s">
        <v>1295</v>
      </c>
      <c r="H2" s="57" t="s">
        <v>1296</v>
      </c>
    </row>
    <row r="3" spans="1:8" ht="14.5" x14ac:dyDescent="0.35">
      <c r="A3" s="38" t="s">
        <v>310</v>
      </c>
      <c r="B3" s="38" t="s">
        <v>296</v>
      </c>
      <c r="C3" s="39">
        <v>185542</v>
      </c>
      <c r="D3" s="39">
        <v>626816</v>
      </c>
      <c r="E3" s="39">
        <v>10905</v>
      </c>
      <c r="F3" s="39">
        <v>40676</v>
      </c>
      <c r="G3" s="39">
        <v>29171</v>
      </c>
      <c r="H3" s="39">
        <v>893110</v>
      </c>
    </row>
    <row r="4" spans="1:8" ht="14.5" x14ac:dyDescent="0.35">
      <c r="A4" s="38" t="s">
        <v>311</v>
      </c>
      <c r="B4" s="38" t="s">
        <v>296</v>
      </c>
      <c r="C4" s="39">
        <v>120448</v>
      </c>
      <c r="D4" s="39">
        <v>653457</v>
      </c>
      <c r="E4" s="39">
        <v>10757</v>
      </c>
      <c r="F4" s="39">
        <v>33689</v>
      </c>
      <c r="G4" s="39">
        <v>26871</v>
      </c>
      <c r="H4" s="39">
        <v>845222</v>
      </c>
    </row>
    <row r="5" spans="1:8" ht="14.5" x14ac:dyDescent="0.35">
      <c r="A5" s="38" t="s">
        <v>312</v>
      </c>
      <c r="B5" s="38" t="s">
        <v>296</v>
      </c>
      <c r="C5" s="39">
        <v>194828</v>
      </c>
      <c r="D5" s="39">
        <v>726492</v>
      </c>
      <c r="E5" s="39">
        <v>13438</v>
      </c>
      <c r="F5" s="39">
        <v>70040</v>
      </c>
      <c r="G5" s="39">
        <v>75374</v>
      </c>
      <c r="H5" s="39">
        <v>1080172</v>
      </c>
    </row>
    <row r="6" spans="1:8" ht="14.5" x14ac:dyDescent="0.35">
      <c r="A6" s="38" t="s">
        <v>313</v>
      </c>
      <c r="B6" s="38" t="s">
        <v>296</v>
      </c>
      <c r="C6" s="39">
        <v>265444</v>
      </c>
      <c r="D6" s="39">
        <v>763342</v>
      </c>
      <c r="E6" s="39">
        <v>15651</v>
      </c>
      <c r="F6" s="39">
        <v>78116</v>
      </c>
      <c r="G6" s="39">
        <v>87333</v>
      </c>
      <c r="H6" s="39">
        <v>1209886</v>
      </c>
    </row>
    <row r="7" spans="1:8" ht="14.5" x14ac:dyDescent="0.35">
      <c r="A7" s="38" t="s">
        <v>314</v>
      </c>
      <c r="B7" s="38" t="s">
        <v>296</v>
      </c>
      <c r="C7" s="39">
        <v>266181</v>
      </c>
      <c r="D7" s="39">
        <v>640074</v>
      </c>
      <c r="E7" s="39">
        <v>15671</v>
      </c>
      <c r="F7" s="39">
        <v>65332</v>
      </c>
      <c r="G7" s="39">
        <v>71016</v>
      </c>
      <c r="H7" s="39">
        <v>1058274</v>
      </c>
    </row>
    <row r="8" spans="1:8" ht="14.5" x14ac:dyDescent="0.35">
      <c r="A8" s="38" t="s">
        <v>315</v>
      </c>
      <c r="B8" s="38" t="s">
        <v>296</v>
      </c>
      <c r="C8" s="39">
        <v>274030</v>
      </c>
      <c r="D8" s="39">
        <v>530929</v>
      </c>
      <c r="E8" s="39">
        <v>16574</v>
      </c>
      <c r="F8" s="39">
        <v>49990</v>
      </c>
      <c r="G8" s="39">
        <v>55261</v>
      </c>
      <c r="H8" s="39">
        <v>926784</v>
      </c>
    </row>
    <row r="9" spans="1:8" ht="14.5" x14ac:dyDescent="0.35">
      <c r="A9" s="38" t="s">
        <v>316</v>
      </c>
      <c r="B9" s="38" t="s">
        <v>296</v>
      </c>
      <c r="C9" s="39">
        <v>317902</v>
      </c>
      <c r="D9" s="39">
        <v>485275</v>
      </c>
      <c r="E9" s="39">
        <v>19629</v>
      </c>
      <c r="F9" s="39">
        <v>35289</v>
      </c>
      <c r="G9" s="39">
        <v>40393</v>
      </c>
      <c r="H9" s="39">
        <v>898488</v>
      </c>
    </row>
    <row r="10" spans="1:8" ht="14.5" x14ac:dyDescent="0.35">
      <c r="A10" s="38" t="s">
        <v>317</v>
      </c>
      <c r="B10" s="38" t="s">
        <v>296</v>
      </c>
      <c r="C10" s="39">
        <v>376506</v>
      </c>
      <c r="D10" s="39">
        <v>412881</v>
      </c>
      <c r="E10" s="39">
        <v>23929</v>
      </c>
      <c r="F10" s="39">
        <v>22714</v>
      </c>
      <c r="G10" s="39">
        <v>27292</v>
      </c>
      <c r="H10" s="39">
        <v>863322</v>
      </c>
    </row>
    <row r="11" spans="1:8" ht="14.5" x14ac:dyDescent="0.35">
      <c r="A11" s="38" t="s">
        <v>318</v>
      </c>
      <c r="B11" s="38" t="s">
        <v>296</v>
      </c>
      <c r="C11" s="39">
        <v>442873</v>
      </c>
      <c r="D11" s="39">
        <v>330986</v>
      </c>
      <c r="E11" s="39">
        <v>24283</v>
      </c>
      <c r="F11" s="39">
        <v>15546</v>
      </c>
      <c r="G11" s="39">
        <v>19006</v>
      </c>
      <c r="H11" s="39">
        <v>832694</v>
      </c>
    </row>
    <row r="12" spans="1:8" ht="14.5" x14ac:dyDescent="0.35">
      <c r="A12" s="38" t="s">
        <v>319</v>
      </c>
      <c r="B12" s="38" t="s">
        <v>296</v>
      </c>
      <c r="C12" s="39">
        <v>176232</v>
      </c>
      <c r="D12" s="39">
        <v>95770</v>
      </c>
      <c r="E12" s="39">
        <v>7993</v>
      </c>
      <c r="F12" s="39">
        <v>3654</v>
      </c>
      <c r="G12" s="39">
        <v>5196</v>
      </c>
      <c r="H12" s="39">
        <v>288845</v>
      </c>
    </row>
    <row r="13" spans="1:8" ht="14.5" x14ac:dyDescent="0.35">
      <c r="A13" s="38" t="s">
        <v>320</v>
      </c>
      <c r="B13" s="38" t="s">
        <v>296</v>
      </c>
      <c r="C13" s="39">
        <v>96721</v>
      </c>
      <c r="D13" s="39">
        <v>43835</v>
      </c>
      <c r="E13" s="39">
        <v>3828</v>
      </c>
      <c r="F13" s="39">
        <v>1375</v>
      </c>
      <c r="G13" s="39">
        <v>2245</v>
      </c>
      <c r="H13" s="39">
        <v>148004</v>
      </c>
    </row>
    <row r="14" spans="1:8" ht="14.5" x14ac:dyDescent="0.35">
      <c r="A14" s="38" t="s">
        <v>321</v>
      </c>
      <c r="B14" s="38" t="s">
        <v>296</v>
      </c>
      <c r="C14" s="39">
        <v>33057</v>
      </c>
      <c r="D14" s="39">
        <v>13859</v>
      </c>
      <c r="E14" s="39">
        <v>1140</v>
      </c>
      <c r="F14" s="39">
        <v>318</v>
      </c>
      <c r="G14" s="39">
        <v>732</v>
      </c>
      <c r="H14" s="39">
        <v>49106</v>
      </c>
    </row>
    <row r="15" spans="1:8" ht="14.5" x14ac:dyDescent="0.35">
      <c r="A15" s="46" t="s">
        <v>304</v>
      </c>
      <c r="B15" s="46" t="s">
        <v>296</v>
      </c>
      <c r="C15" s="47">
        <v>2749842</v>
      </c>
      <c r="D15" s="47">
        <v>5323935</v>
      </c>
      <c r="E15" s="47">
        <v>163805</v>
      </c>
      <c r="F15" s="47">
        <v>416778</v>
      </c>
      <c r="G15" s="47">
        <v>439952</v>
      </c>
      <c r="H15" s="47">
        <v>9094312</v>
      </c>
    </row>
    <row r="16" spans="1:8" ht="14.5" x14ac:dyDescent="0.35">
      <c r="A16" s="38" t="s">
        <v>310</v>
      </c>
      <c r="B16" s="38" t="s">
        <v>495</v>
      </c>
      <c r="C16" s="40">
        <v>20.774799999999999</v>
      </c>
      <c r="D16" s="40">
        <v>70.183499999999995</v>
      </c>
      <c r="E16" s="40">
        <v>1.2210000000000001</v>
      </c>
      <c r="F16" s="40">
        <v>4.5544000000000002</v>
      </c>
      <c r="G16" s="40">
        <v>3.2662</v>
      </c>
      <c r="H16" s="40">
        <v>100</v>
      </c>
    </row>
    <row r="17" spans="1:8" ht="14.5" x14ac:dyDescent="0.35">
      <c r="A17" s="38" t="s">
        <v>311</v>
      </c>
      <c r="B17" s="38" t="s">
        <v>495</v>
      </c>
      <c r="C17" s="40">
        <v>14.250500000000001</v>
      </c>
      <c r="D17" s="40">
        <v>77.311899999999994</v>
      </c>
      <c r="E17" s="40">
        <v>1.2726999999999999</v>
      </c>
      <c r="F17" s="40">
        <v>3.9857999999999998</v>
      </c>
      <c r="G17" s="40">
        <v>3.1791999999999998</v>
      </c>
      <c r="H17" s="40">
        <v>100</v>
      </c>
    </row>
    <row r="18" spans="1:8" ht="14.5" x14ac:dyDescent="0.35">
      <c r="A18" s="38" t="s">
        <v>312</v>
      </c>
      <c r="B18" s="38" t="s">
        <v>495</v>
      </c>
      <c r="C18" s="40">
        <v>18.036799999999999</v>
      </c>
      <c r="D18" s="40">
        <v>67.257099999999994</v>
      </c>
      <c r="E18" s="40">
        <v>1.2441</v>
      </c>
      <c r="F18" s="40">
        <v>6.4842000000000004</v>
      </c>
      <c r="G18" s="40">
        <v>6.9779999999999998</v>
      </c>
      <c r="H18" s="40">
        <v>100</v>
      </c>
    </row>
    <row r="19" spans="1:8" ht="14.5" x14ac:dyDescent="0.35">
      <c r="A19" s="38" t="s">
        <v>313</v>
      </c>
      <c r="B19" s="38" t="s">
        <v>495</v>
      </c>
      <c r="C19" s="40">
        <v>21.939599999999999</v>
      </c>
      <c r="D19" s="40">
        <v>63.092100000000002</v>
      </c>
      <c r="E19" s="40">
        <v>1.2936000000000001</v>
      </c>
      <c r="F19" s="40">
        <v>6.4565000000000001</v>
      </c>
      <c r="G19" s="40">
        <v>7.2183000000000002</v>
      </c>
      <c r="H19" s="40">
        <v>100</v>
      </c>
    </row>
    <row r="20" spans="1:8" ht="14.5" x14ac:dyDescent="0.35">
      <c r="A20" s="38" t="s">
        <v>314</v>
      </c>
      <c r="B20" s="38" t="s">
        <v>495</v>
      </c>
      <c r="C20" s="40">
        <v>25.1524</v>
      </c>
      <c r="D20" s="40">
        <v>60.482799999999997</v>
      </c>
      <c r="E20" s="40">
        <v>1.4807999999999999</v>
      </c>
      <c r="F20" s="40">
        <v>6.1734</v>
      </c>
      <c r="G20" s="40">
        <v>6.7104999999999997</v>
      </c>
      <c r="H20" s="40">
        <v>100</v>
      </c>
    </row>
    <row r="21" spans="1:8" ht="14.5" x14ac:dyDescent="0.35">
      <c r="A21" s="38" t="s">
        <v>315</v>
      </c>
      <c r="B21" s="38" t="s">
        <v>495</v>
      </c>
      <c r="C21" s="40">
        <v>29.567799999999998</v>
      </c>
      <c r="D21" s="40">
        <v>57.287199999999999</v>
      </c>
      <c r="E21" s="40">
        <v>1.7883</v>
      </c>
      <c r="F21" s="40">
        <v>5.3939000000000004</v>
      </c>
      <c r="G21" s="40">
        <v>5.9626999999999999</v>
      </c>
      <c r="H21" s="40">
        <v>100</v>
      </c>
    </row>
    <row r="22" spans="1:8" ht="14.5" x14ac:dyDescent="0.35">
      <c r="A22" s="38" t="s">
        <v>316</v>
      </c>
      <c r="B22" s="38" t="s">
        <v>495</v>
      </c>
      <c r="C22" s="40">
        <v>35.381900000000002</v>
      </c>
      <c r="D22" s="40">
        <v>54.010199999999998</v>
      </c>
      <c r="E22" s="40">
        <v>2.1846999999999999</v>
      </c>
      <c r="F22" s="40">
        <v>3.9276</v>
      </c>
      <c r="G22" s="40">
        <v>4.4957000000000003</v>
      </c>
      <c r="H22" s="40">
        <v>100</v>
      </c>
    </row>
    <row r="23" spans="1:8" ht="14.5" x14ac:dyDescent="0.35">
      <c r="A23" s="38" t="s">
        <v>317</v>
      </c>
      <c r="B23" s="38" t="s">
        <v>495</v>
      </c>
      <c r="C23" s="40">
        <v>43.6113</v>
      </c>
      <c r="D23" s="40">
        <v>47.8247</v>
      </c>
      <c r="E23" s="40">
        <v>2.7717000000000001</v>
      </c>
      <c r="F23" s="40">
        <v>2.6309999999999998</v>
      </c>
      <c r="G23" s="40">
        <v>3.1613000000000002</v>
      </c>
      <c r="H23" s="40">
        <v>100</v>
      </c>
    </row>
    <row r="24" spans="1:8" ht="14.5" x14ac:dyDescent="0.35">
      <c r="A24" s="38" t="s">
        <v>318</v>
      </c>
      <c r="B24" s="38" t="s">
        <v>495</v>
      </c>
      <c r="C24" s="40">
        <v>53.185600000000001</v>
      </c>
      <c r="D24" s="40">
        <v>39.748800000000003</v>
      </c>
      <c r="E24" s="40">
        <v>2.9161999999999999</v>
      </c>
      <c r="F24" s="40">
        <v>1.867</v>
      </c>
      <c r="G24" s="40">
        <v>2.2825000000000002</v>
      </c>
      <c r="H24" s="40">
        <v>100</v>
      </c>
    </row>
    <row r="25" spans="1:8" ht="14.5" x14ac:dyDescent="0.35">
      <c r="A25" s="38" t="s">
        <v>319</v>
      </c>
      <c r="B25" s="38" t="s">
        <v>495</v>
      </c>
      <c r="C25" s="40">
        <v>61.012700000000002</v>
      </c>
      <c r="D25" s="40">
        <v>33.156199999999998</v>
      </c>
      <c r="E25" s="40">
        <v>2.7671999999999999</v>
      </c>
      <c r="F25" s="40">
        <v>1.2649999999999999</v>
      </c>
      <c r="G25" s="40">
        <v>1.7988999999999999</v>
      </c>
      <c r="H25" s="40">
        <v>100</v>
      </c>
    </row>
    <row r="26" spans="1:8" ht="14.5" x14ac:dyDescent="0.35">
      <c r="A26" s="38" t="s">
        <v>320</v>
      </c>
      <c r="B26" s="38" t="s">
        <v>495</v>
      </c>
      <c r="C26" s="40">
        <v>65.350300000000004</v>
      </c>
      <c r="D26" s="40">
        <v>29.6174</v>
      </c>
      <c r="E26" s="40">
        <v>2.5863999999999998</v>
      </c>
      <c r="F26" s="40">
        <v>0.92900000000000005</v>
      </c>
      <c r="G26" s="40">
        <v>1.5168999999999999</v>
      </c>
      <c r="H26" s="40">
        <v>100</v>
      </c>
    </row>
    <row r="27" spans="1:8" ht="14.5" x14ac:dyDescent="0.35">
      <c r="A27" s="38" t="s">
        <v>321</v>
      </c>
      <c r="B27" s="38" t="s">
        <v>495</v>
      </c>
      <c r="C27" s="40">
        <v>67.317599999999999</v>
      </c>
      <c r="D27" s="40">
        <v>28.2226</v>
      </c>
      <c r="E27" s="40">
        <v>2.3214999999999999</v>
      </c>
      <c r="F27" s="40">
        <v>0.64759999999999995</v>
      </c>
      <c r="G27" s="40">
        <v>1.4906999999999999</v>
      </c>
      <c r="H27" s="40">
        <v>100</v>
      </c>
    </row>
    <row r="28" spans="1:8" ht="14.5" x14ac:dyDescent="0.35">
      <c r="A28" s="54" t="s">
        <v>1275</v>
      </c>
      <c r="B28" s="41" t="s">
        <v>495</v>
      </c>
      <c r="C28" s="43">
        <v>30.236899999999999</v>
      </c>
      <c r="D28" s="43">
        <v>58.541400000000003</v>
      </c>
      <c r="E28" s="43">
        <v>1.8011999999999999</v>
      </c>
      <c r="F28" s="43">
        <v>4.5827999999999998</v>
      </c>
      <c r="G28" s="43">
        <v>4.8376999999999999</v>
      </c>
      <c r="H28" s="43">
        <v>100</v>
      </c>
    </row>
    <row r="29" spans="1:8" ht="14.5" x14ac:dyDescent="0.35">
      <c r="A29" s="100" t="s">
        <v>496</v>
      </c>
      <c r="B29" s="99"/>
      <c r="C29" s="99"/>
      <c r="D29" s="99"/>
      <c r="E29" s="99"/>
      <c r="F29" s="99"/>
      <c r="G29" s="99"/>
      <c r="H29" s="99"/>
    </row>
    <row r="30" spans="1:8" ht="14.5" x14ac:dyDescent="0.35">
      <c r="A30" s="100" t="s">
        <v>497</v>
      </c>
      <c r="B30" s="99"/>
      <c r="C30" s="99"/>
      <c r="D30" s="99"/>
      <c r="E30" s="99"/>
      <c r="F30" s="99"/>
      <c r="G30" s="99"/>
      <c r="H30" s="99"/>
    </row>
    <row r="31" spans="1:8" ht="14.5" x14ac:dyDescent="0.35">
      <c r="A31" s="44"/>
      <c r="B31" s="35"/>
      <c r="C31" s="35"/>
      <c r="D31" s="35"/>
      <c r="E31" s="35"/>
      <c r="F31" s="35"/>
      <c r="G31" s="35"/>
      <c r="H31" s="35"/>
    </row>
    <row r="32" spans="1:8" ht="14.5" x14ac:dyDescent="0.35">
      <c r="A32" s="35" t="s">
        <v>290</v>
      </c>
      <c r="B32" s="35"/>
      <c r="C32" s="35"/>
      <c r="D32" s="35"/>
      <c r="E32" s="35"/>
      <c r="F32" s="35"/>
      <c r="G32" s="35"/>
      <c r="H32" s="35"/>
    </row>
    <row r="33" spans="1:8" ht="14.5" x14ac:dyDescent="0.35">
      <c r="A33" s="45" t="s">
        <v>291</v>
      </c>
      <c r="B33" s="35"/>
      <c r="C33" s="35"/>
      <c r="D33" s="35"/>
      <c r="E33" s="35"/>
      <c r="F33" s="35"/>
      <c r="G33" s="35"/>
      <c r="H33" s="35"/>
    </row>
    <row r="34" spans="1:8" ht="14.5" x14ac:dyDescent="0.35">
      <c r="A34" s="35"/>
      <c r="B34" s="35"/>
      <c r="C34" s="35"/>
      <c r="D34" s="35"/>
      <c r="E34" s="35"/>
      <c r="F34" s="35"/>
      <c r="G34" s="35"/>
      <c r="H34" s="35"/>
    </row>
    <row r="35" spans="1:8" ht="14.5" x14ac:dyDescent="0.35">
      <c r="A35" s="45" t="s">
        <v>3</v>
      </c>
      <c r="B35" s="35"/>
      <c r="C35" s="35"/>
      <c r="D35" s="35"/>
      <c r="E35" s="35"/>
      <c r="F35" s="35"/>
      <c r="G35" s="35"/>
      <c r="H35" s="35"/>
    </row>
    <row r="36" spans="1:8" ht="14.5" x14ac:dyDescent="0.35">
      <c r="A36" s="35"/>
      <c r="B36" s="35"/>
      <c r="C36" s="35"/>
      <c r="D36" s="35"/>
      <c r="E36" s="35"/>
      <c r="F36" s="35"/>
      <c r="G36" s="35"/>
      <c r="H36" s="35"/>
    </row>
    <row r="37" spans="1:8" ht="14.5" x14ac:dyDescent="0.35">
      <c r="A37" s="45" t="s">
        <v>292</v>
      </c>
      <c r="B37" s="35"/>
      <c r="C37" s="35"/>
      <c r="D37" s="35"/>
      <c r="E37" s="35"/>
      <c r="F37" s="35"/>
      <c r="G37" s="35"/>
      <c r="H37" s="35"/>
    </row>
  </sheetData>
  <mergeCells count="3">
    <mergeCell ref="A29:H29"/>
    <mergeCell ref="A30:H30"/>
    <mergeCell ref="A1:H1"/>
  </mergeCells>
  <hyperlinks>
    <hyperlink ref="A33" r:id="rId1" xr:uid="{00000000-0004-0000-1700-000000000000}"/>
    <hyperlink ref="A35" location="'Technical specifications'!A1" display="Technical specifications" xr:uid="{00000000-0004-0000-1700-000001000000}"/>
    <hyperlink ref="A37" location="Contents!A1" display="Back to contents" xr:uid="{00000000-0004-0000-17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40"/>
  <sheetViews>
    <sheetView workbookViewId="0">
      <selection sqref="A1:K1"/>
    </sheetView>
  </sheetViews>
  <sheetFormatPr defaultRowHeight="14.75" customHeight="1" x14ac:dyDescent="0.35"/>
  <cols>
    <col min="1" max="1" width="79" customWidth="1"/>
    <col min="2" max="2" width="23" customWidth="1"/>
    <col min="3" max="11" width="8.453125" customWidth="1"/>
  </cols>
  <sheetData>
    <row r="1" spans="1:11" ht="33.75" customHeight="1" x14ac:dyDescent="0.35">
      <c r="A1" s="96" t="s">
        <v>498</v>
      </c>
      <c r="B1" s="97"/>
      <c r="C1" s="97"/>
      <c r="D1" s="97"/>
      <c r="E1" s="97"/>
      <c r="F1" s="97"/>
      <c r="G1" s="97"/>
      <c r="H1" s="97"/>
      <c r="I1" s="97"/>
      <c r="J1" s="97"/>
      <c r="K1" s="97"/>
    </row>
    <row r="2" spans="1:11" ht="14.5" x14ac:dyDescent="0.35">
      <c r="A2" s="36" t="s">
        <v>499</v>
      </c>
      <c r="B2" s="36" t="s">
        <v>294</v>
      </c>
      <c r="C2" s="37" t="s">
        <v>295</v>
      </c>
      <c r="D2" s="37" t="s">
        <v>297</v>
      </c>
      <c r="E2" s="37" t="s">
        <v>298</v>
      </c>
      <c r="F2" s="37" t="s">
        <v>299</v>
      </c>
      <c r="G2" s="37" t="s">
        <v>300</v>
      </c>
      <c r="H2" s="37" t="s">
        <v>301</v>
      </c>
      <c r="I2" s="37" t="s">
        <v>302</v>
      </c>
      <c r="J2" s="37" t="s">
        <v>303</v>
      </c>
      <c r="K2" s="37" t="s">
        <v>304</v>
      </c>
    </row>
    <row r="3" spans="1:11" ht="14.5" x14ac:dyDescent="0.35">
      <c r="A3" s="38" t="s">
        <v>500</v>
      </c>
      <c r="B3" s="38" t="s">
        <v>296</v>
      </c>
      <c r="C3" s="39">
        <v>2988263</v>
      </c>
      <c r="D3" s="39">
        <v>1901429</v>
      </c>
      <c r="E3" s="39">
        <v>0</v>
      </c>
      <c r="F3" s="39">
        <v>974231</v>
      </c>
      <c r="G3" s="39">
        <v>594143</v>
      </c>
      <c r="H3" s="39">
        <v>172987</v>
      </c>
      <c r="I3" s="39">
        <v>158824</v>
      </c>
      <c r="J3" s="39">
        <v>179403</v>
      </c>
      <c r="K3" s="39">
        <v>6969280</v>
      </c>
    </row>
    <row r="4" spans="1:11" ht="14.5" x14ac:dyDescent="0.35">
      <c r="A4" s="38" t="s">
        <v>501</v>
      </c>
      <c r="B4" s="38" t="s">
        <v>296</v>
      </c>
      <c r="C4" s="39">
        <v>14294</v>
      </c>
      <c r="D4" s="39">
        <v>0</v>
      </c>
      <c r="E4" s="39">
        <v>8434</v>
      </c>
      <c r="F4" s="39">
        <v>7670</v>
      </c>
      <c r="G4" s="39">
        <v>618</v>
      </c>
      <c r="H4" s="39">
        <v>0</v>
      </c>
      <c r="I4" s="39">
        <v>327</v>
      </c>
      <c r="J4" s="39">
        <v>855</v>
      </c>
      <c r="K4" s="39">
        <v>32198</v>
      </c>
    </row>
    <row r="5" spans="1:11" ht="14.5" x14ac:dyDescent="0.35">
      <c r="A5" s="38" t="s">
        <v>502</v>
      </c>
      <c r="B5" s="38" t="s">
        <v>296</v>
      </c>
      <c r="C5" s="39">
        <v>11772</v>
      </c>
      <c r="D5" s="39">
        <v>0</v>
      </c>
      <c r="E5" s="39">
        <v>0</v>
      </c>
      <c r="F5" s="39">
        <v>0</v>
      </c>
      <c r="G5" s="39">
        <v>0</v>
      </c>
      <c r="H5" s="39">
        <v>2</v>
      </c>
      <c r="I5" s="39">
        <v>101</v>
      </c>
      <c r="J5" s="39">
        <v>2</v>
      </c>
      <c r="K5" s="39">
        <v>11877</v>
      </c>
    </row>
    <row r="6" spans="1:11" ht="14.5" x14ac:dyDescent="0.35">
      <c r="A6" s="38" t="s">
        <v>503</v>
      </c>
      <c r="B6" s="38" t="s">
        <v>296</v>
      </c>
      <c r="C6" s="39">
        <v>15514</v>
      </c>
      <c r="D6" s="39">
        <v>4986</v>
      </c>
      <c r="E6" s="39">
        <v>10409</v>
      </c>
      <c r="F6" s="39">
        <v>3242</v>
      </c>
      <c r="G6" s="39">
        <v>1450</v>
      </c>
      <c r="H6" s="39">
        <v>832</v>
      </c>
      <c r="I6" s="39">
        <v>973</v>
      </c>
      <c r="J6" s="39">
        <v>493</v>
      </c>
      <c r="K6" s="39">
        <v>37899</v>
      </c>
    </row>
    <row r="7" spans="1:11" ht="14.5" x14ac:dyDescent="0.35">
      <c r="A7" s="38" t="s">
        <v>504</v>
      </c>
      <c r="B7" s="38" t="s">
        <v>296</v>
      </c>
      <c r="C7" s="39">
        <v>2412</v>
      </c>
      <c r="D7" s="39">
        <v>0</v>
      </c>
      <c r="E7" s="39">
        <v>1069</v>
      </c>
      <c r="F7" s="39">
        <v>458</v>
      </c>
      <c r="G7" s="39">
        <v>123</v>
      </c>
      <c r="H7" s="39">
        <v>5</v>
      </c>
      <c r="I7" s="39">
        <v>719</v>
      </c>
      <c r="J7" s="39">
        <v>847</v>
      </c>
      <c r="K7" s="39">
        <v>5633</v>
      </c>
    </row>
    <row r="8" spans="1:11" ht="14.5" x14ac:dyDescent="0.35">
      <c r="A8" s="38" t="s">
        <v>505</v>
      </c>
      <c r="B8" s="38" t="s">
        <v>296</v>
      </c>
      <c r="C8" s="39">
        <v>4602</v>
      </c>
      <c r="D8" s="39">
        <v>0</v>
      </c>
      <c r="E8" s="39">
        <v>4992</v>
      </c>
      <c r="F8" s="39">
        <v>1693</v>
      </c>
      <c r="G8" s="39">
        <v>941</v>
      </c>
      <c r="H8" s="39">
        <v>223</v>
      </c>
      <c r="I8" s="39">
        <v>173</v>
      </c>
      <c r="J8" s="39">
        <v>1443</v>
      </c>
      <c r="K8" s="39">
        <v>14067</v>
      </c>
    </row>
    <row r="9" spans="1:11" ht="14.5" x14ac:dyDescent="0.35">
      <c r="A9" s="38" t="s">
        <v>506</v>
      </c>
      <c r="B9" s="38" t="s">
        <v>296</v>
      </c>
      <c r="C9" s="39">
        <v>0</v>
      </c>
      <c r="D9" s="39">
        <v>0</v>
      </c>
      <c r="E9" s="39">
        <v>1656398</v>
      </c>
      <c r="F9" s="39">
        <v>0</v>
      </c>
      <c r="G9" s="39">
        <v>0</v>
      </c>
      <c r="H9" s="39">
        <v>0</v>
      </c>
      <c r="I9" s="39">
        <v>1</v>
      </c>
      <c r="J9" s="39">
        <v>0</v>
      </c>
      <c r="K9" s="39">
        <v>1656399</v>
      </c>
    </row>
    <row r="10" spans="1:11" ht="14.5" x14ac:dyDescent="0.35">
      <c r="A10" s="38" t="s">
        <v>507</v>
      </c>
      <c r="B10" s="38" t="s">
        <v>296</v>
      </c>
      <c r="C10" s="39">
        <v>0</v>
      </c>
      <c r="D10" s="39">
        <v>0</v>
      </c>
      <c r="E10" s="39">
        <v>0</v>
      </c>
      <c r="F10" s="39">
        <v>3</v>
      </c>
      <c r="G10" s="39">
        <v>0</v>
      </c>
      <c r="H10" s="39">
        <v>2131</v>
      </c>
      <c r="I10" s="39">
        <v>0</v>
      </c>
      <c r="J10" s="39">
        <v>0</v>
      </c>
      <c r="K10" s="39">
        <v>2134</v>
      </c>
    </row>
    <row r="11" spans="1:11" ht="14.5" x14ac:dyDescent="0.35">
      <c r="A11" s="38" t="s">
        <v>508</v>
      </c>
      <c r="B11" s="38" t="s">
        <v>296</v>
      </c>
      <c r="C11" s="39">
        <v>40244</v>
      </c>
      <c r="D11" s="39">
        <v>17635</v>
      </c>
      <c r="E11" s="39">
        <v>28487</v>
      </c>
      <c r="F11" s="39">
        <v>14644</v>
      </c>
      <c r="G11" s="39">
        <v>7586</v>
      </c>
      <c r="H11" s="39">
        <v>3647</v>
      </c>
      <c r="I11" s="39">
        <v>1375</v>
      </c>
      <c r="J11" s="39">
        <v>1703</v>
      </c>
      <c r="K11" s="39">
        <v>115321</v>
      </c>
    </row>
    <row r="12" spans="1:11" ht="14.5" x14ac:dyDescent="0.35">
      <c r="A12" s="38" t="s">
        <v>509</v>
      </c>
      <c r="B12" s="38" t="s">
        <v>296</v>
      </c>
      <c r="C12" s="39">
        <v>22546</v>
      </c>
      <c r="D12" s="39">
        <v>15006</v>
      </c>
      <c r="E12" s="39">
        <v>11996</v>
      </c>
      <c r="F12" s="39">
        <v>2201</v>
      </c>
      <c r="G12" s="39">
        <v>6428</v>
      </c>
      <c r="H12" s="39">
        <v>2627</v>
      </c>
      <c r="I12" s="39">
        <v>693</v>
      </c>
      <c r="J12" s="39">
        <v>217</v>
      </c>
      <c r="K12" s="39">
        <v>61714</v>
      </c>
    </row>
    <row r="13" spans="1:11" ht="14.5" x14ac:dyDescent="0.35">
      <c r="A13" s="38" t="s">
        <v>510</v>
      </c>
      <c r="B13" s="38" t="s">
        <v>296</v>
      </c>
      <c r="C13" s="39">
        <v>1057</v>
      </c>
      <c r="D13" s="39">
        <v>1390</v>
      </c>
      <c r="E13" s="39">
        <v>138</v>
      </c>
      <c r="F13" s="39">
        <v>773</v>
      </c>
      <c r="G13" s="39">
        <v>6</v>
      </c>
      <c r="H13" s="39">
        <v>34</v>
      </c>
      <c r="I13" s="39">
        <v>12</v>
      </c>
      <c r="J13" s="39">
        <v>0</v>
      </c>
      <c r="K13" s="39">
        <v>3410</v>
      </c>
    </row>
    <row r="14" spans="1:11" ht="14.5" x14ac:dyDescent="0.35">
      <c r="A14" s="38" t="s">
        <v>511</v>
      </c>
      <c r="B14" s="38" t="s">
        <v>296</v>
      </c>
      <c r="C14" s="39">
        <v>59769</v>
      </c>
      <c r="D14" s="39">
        <v>0</v>
      </c>
      <c r="E14" s="39">
        <v>0</v>
      </c>
      <c r="F14" s="39">
        <v>4</v>
      </c>
      <c r="G14" s="39">
        <v>0</v>
      </c>
      <c r="H14" s="39">
        <v>351</v>
      </c>
      <c r="I14" s="39">
        <v>0</v>
      </c>
      <c r="J14" s="39">
        <v>0</v>
      </c>
      <c r="K14" s="39">
        <v>60124</v>
      </c>
    </row>
    <row r="15" spans="1:11" ht="14.5" x14ac:dyDescent="0.35">
      <c r="A15" s="38" t="s">
        <v>512</v>
      </c>
      <c r="B15" s="38" t="s">
        <v>296</v>
      </c>
      <c r="C15" s="39">
        <v>0</v>
      </c>
      <c r="D15" s="39">
        <v>37496</v>
      </c>
      <c r="E15" s="39">
        <v>41759</v>
      </c>
      <c r="F15" s="39">
        <v>20115</v>
      </c>
      <c r="G15" s="39">
        <v>11121</v>
      </c>
      <c r="H15" s="39">
        <v>0</v>
      </c>
      <c r="I15" s="39">
        <v>4300</v>
      </c>
      <c r="J15" s="39">
        <v>3151</v>
      </c>
      <c r="K15" s="39">
        <v>117942</v>
      </c>
    </row>
    <row r="16" spans="1:11" ht="14.5" x14ac:dyDescent="0.35">
      <c r="A16" s="38" t="s">
        <v>513</v>
      </c>
      <c r="B16" s="38" t="s">
        <v>296</v>
      </c>
      <c r="C16" s="39">
        <v>0</v>
      </c>
      <c r="D16" s="39">
        <v>325</v>
      </c>
      <c r="E16" s="39">
        <v>3157</v>
      </c>
      <c r="F16" s="39">
        <v>1983</v>
      </c>
      <c r="G16" s="39">
        <v>460</v>
      </c>
      <c r="H16" s="39">
        <v>280</v>
      </c>
      <c r="I16" s="39">
        <v>105</v>
      </c>
      <c r="J16" s="39">
        <v>3</v>
      </c>
      <c r="K16" s="39">
        <v>6313</v>
      </c>
    </row>
    <row r="17" spans="1:11" ht="14.5" x14ac:dyDescent="0.35">
      <c r="A17" s="46" t="s">
        <v>304</v>
      </c>
      <c r="B17" s="46" t="s">
        <v>296</v>
      </c>
      <c r="C17" s="47">
        <v>3160473</v>
      </c>
      <c r="D17" s="47">
        <v>1978267</v>
      </c>
      <c r="E17" s="47">
        <v>1766839</v>
      </c>
      <c r="F17" s="47">
        <v>1027017</v>
      </c>
      <c r="G17" s="47">
        <v>622876</v>
      </c>
      <c r="H17" s="47">
        <v>183119</v>
      </c>
      <c r="I17" s="47">
        <v>167603</v>
      </c>
      <c r="J17" s="47">
        <v>188117</v>
      </c>
      <c r="K17" s="47">
        <v>9094311</v>
      </c>
    </row>
    <row r="18" spans="1:11" ht="14.5" x14ac:dyDescent="0.35">
      <c r="A18" s="38" t="s">
        <v>500</v>
      </c>
      <c r="B18" s="38" t="s">
        <v>306</v>
      </c>
      <c r="C18" s="40">
        <v>94.551100000000005</v>
      </c>
      <c r="D18" s="40">
        <v>96.115899999999996</v>
      </c>
      <c r="E18" s="40">
        <v>0</v>
      </c>
      <c r="F18" s="40">
        <v>94.860299999999995</v>
      </c>
      <c r="G18" s="40">
        <v>95.387</v>
      </c>
      <c r="H18" s="40">
        <v>94.466999999999999</v>
      </c>
      <c r="I18" s="40">
        <v>94.762</v>
      </c>
      <c r="J18" s="40">
        <v>95.367800000000003</v>
      </c>
      <c r="K18" s="40">
        <v>76.633399999999995</v>
      </c>
    </row>
    <row r="19" spans="1:11" ht="14.5" x14ac:dyDescent="0.35">
      <c r="A19" s="38" t="s">
        <v>501</v>
      </c>
      <c r="B19" s="38" t="s">
        <v>306</v>
      </c>
      <c r="C19" s="40">
        <v>0.45229999999999998</v>
      </c>
      <c r="D19" s="40">
        <v>0</v>
      </c>
      <c r="E19" s="40">
        <v>0.4773</v>
      </c>
      <c r="F19" s="40">
        <v>0.74680000000000002</v>
      </c>
      <c r="G19" s="40">
        <v>9.9199999999999997E-2</v>
      </c>
      <c r="H19" s="40">
        <v>0</v>
      </c>
      <c r="I19" s="40">
        <v>0.1951</v>
      </c>
      <c r="J19" s="40">
        <v>0.45450000000000002</v>
      </c>
      <c r="K19" s="40">
        <v>0.35399999999999998</v>
      </c>
    </row>
    <row r="20" spans="1:11" ht="14.5" x14ac:dyDescent="0.35">
      <c r="A20" s="38" t="s">
        <v>502</v>
      </c>
      <c r="B20" s="38" t="s">
        <v>306</v>
      </c>
      <c r="C20" s="40">
        <v>0.3725</v>
      </c>
      <c r="D20" s="40">
        <v>0</v>
      </c>
      <c r="E20" s="40">
        <v>0</v>
      </c>
      <c r="F20" s="40">
        <v>0</v>
      </c>
      <c r="G20" s="40">
        <v>0</v>
      </c>
      <c r="H20" s="40">
        <v>1.1000000000000001E-3</v>
      </c>
      <c r="I20" s="40">
        <v>6.0299999999999999E-2</v>
      </c>
      <c r="J20" s="40">
        <v>1.1000000000000001E-3</v>
      </c>
      <c r="K20" s="40">
        <v>0.13059999999999999</v>
      </c>
    </row>
    <row r="21" spans="1:11" ht="14.5" x14ac:dyDescent="0.35">
      <c r="A21" s="38" t="s">
        <v>503</v>
      </c>
      <c r="B21" s="38" t="s">
        <v>306</v>
      </c>
      <c r="C21" s="40">
        <v>0.4909</v>
      </c>
      <c r="D21" s="40">
        <v>0.252</v>
      </c>
      <c r="E21" s="40">
        <v>0.58909999999999996</v>
      </c>
      <c r="F21" s="40">
        <v>0.31569999999999998</v>
      </c>
      <c r="G21" s="40">
        <v>0.23280000000000001</v>
      </c>
      <c r="H21" s="40">
        <v>0.45429999999999998</v>
      </c>
      <c r="I21" s="40">
        <v>0.58050000000000002</v>
      </c>
      <c r="J21" s="40">
        <v>0.2621</v>
      </c>
      <c r="K21" s="40">
        <v>0.41670000000000001</v>
      </c>
    </row>
    <row r="22" spans="1:11" ht="14.5" x14ac:dyDescent="0.35">
      <c r="A22" s="38" t="s">
        <v>504</v>
      </c>
      <c r="B22" s="38" t="s">
        <v>306</v>
      </c>
      <c r="C22" s="40">
        <v>7.6300000000000007E-2</v>
      </c>
      <c r="D22" s="40">
        <v>0</v>
      </c>
      <c r="E22" s="40">
        <v>6.0499999999999998E-2</v>
      </c>
      <c r="F22" s="40">
        <v>4.4600000000000001E-2</v>
      </c>
      <c r="G22" s="40">
        <v>1.9699999999999999E-2</v>
      </c>
      <c r="H22" s="40">
        <v>2.7000000000000001E-3</v>
      </c>
      <c r="I22" s="40">
        <v>0.42899999999999999</v>
      </c>
      <c r="J22" s="40">
        <v>0.45029999999999998</v>
      </c>
      <c r="K22" s="40">
        <v>6.1899999999999997E-2</v>
      </c>
    </row>
    <row r="23" spans="1:11" ht="14.5" x14ac:dyDescent="0.35">
      <c r="A23" s="38" t="s">
        <v>505</v>
      </c>
      <c r="B23" s="38" t="s">
        <v>306</v>
      </c>
      <c r="C23" s="40">
        <v>0.14560000000000001</v>
      </c>
      <c r="D23" s="40">
        <v>0</v>
      </c>
      <c r="E23" s="40">
        <v>0.28249999999999997</v>
      </c>
      <c r="F23" s="40">
        <v>0.1648</v>
      </c>
      <c r="G23" s="40">
        <v>0.15110000000000001</v>
      </c>
      <c r="H23" s="40">
        <v>0.12180000000000001</v>
      </c>
      <c r="I23" s="40">
        <v>0.1032</v>
      </c>
      <c r="J23" s="40">
        <v>0.7671</v>
      </c>
      <c r="K23" s="40">
        <v>0.1547</v>
      </c>
    </row>
    <row r="24" spans="1:11" ht="14.5" x14ac:dyDescent="0.35">
      <c r="A24" s="38" t="s">
        <v>506</v>
      </c>
      <c r="B24" s="38" t="s">
        <v>306</v>
      </c>
      <c r="C24" s="40">
        <v>0</v>
      </c>
      <c r="D24" s="40">
        <v>0</v>
      </c>
      <c r="E24" s="40">
        <v>93.749200000000002</v>
      </c>
      <c r="F24" s="40">
        <v>0</v>
      </c>
      <c r="G24" s="40">
        <v>0</v>
      </c>
      <c r="H24" s="40">
        <v>0</v>
      </c>
      <c r="I24" s="40">
        <v>5.9999999999999995E-4</v>
      </c>
      <c r="J24" s="40">
        <v>0</v>
      </c>
      <c r="K24" s="40">
        <v>18.2136</v>
      </c>
    </row>
    <row r="25" spans="1:11" ht="14.5" x14ac:dyDescent="0.35">
      <c r="A25" s="38" t="s">
        <v>507</v>
      </c>
      <c r="B25" s="38" t="s">
        <v>306</v>
      </c>
      <c r="C25" s="40">
        <v>0</v>
      </c>
      <c r="D25" s="40">
        <v>0</v>
      </c>
      <c r="E25" s="40">
        <v>0</v>
      </c>
      <c r="F25" s="40">
        <v>2.9999999999999997E-4</v>
      </c>
      <c r="G25" s="40">
        <v>0</v>
      </c>
      <c r="H25" s="40">
        <v>1.1637</v>
      </c>
      <c r="I25" s="40">
        <v>0</v>
      </c>
      <c r="J25" s="40">
        <v>0</v>
      </c>
      <c r="K25" s="40">
        <v>2.35E-2</v>
      </c>
    </row>
    <row r="26" spans="1:11" ht="14.5" x14ac:dyDescent="0.35">
      <c r="A26" s="38" t="s">
        <v>508</v>
      </c>
      <c r="B26" s="38" t="s">
        <v>306</v>
      </c>
      <c r="C26" s="40">
        <v>1.2734000000000001</v>
      </c>
      <c r="D26" s="40">
        <v>0.89139999999999997</v>
      </c>
      <c r="E26" s="40">
        <v>1.6123000000000001</v>
      </c>
      <c r="F26" s="40">
        <v>1.4258999999999999</v>
      </c>
      <c r="G26" s="40">
        <v>1.2179</v>
      </c>
      <c r="H26" s="40">
        <v>1.9916</v>
      </c>
      <c r="I26" s="40">
        <v>0.82040000000000002</v>
      </c>
      <c r="J26" s="40">
        <v>0.90529999999999999</v>
      </c>
      <c r="K26" s="40">
        <v>1.2681</v>
      </c>
    </row>
    <row r="27" spans="1:11" ht="14.5" x14ac:dyDescent="0.35">
      <c r="A27" s="38" t="s">
        <v>509</v>
      </c>
      <c r="B27" s="38" t="s">
        <v>306</v>
      </c>
      <c r="C27" s="40">
        <v>0.71340000000000003</v>
      </c>
      <c r="D27" s="40">
        <v>0.75849999999999995</v>
      </c>
      <c r="E27" s="40">
        <v>0.67900000000000005</v>
      </c>
      <c r="F27" s="40">
        <v>0.21429999999999999</v>
      </c>
      <c r="G27" s="40">
        <v>1.032</v>
      </c>
      <c r="H27" s="40">
        <v>1.4346000000000001</v>
      </c>
      <c r="I27" s="40">
        <v>0.41349999999999998</v>
      </c>
      <c r="J27" s="40">
        <v>0.1154</v>
      </c>
      <c r="K27" s="40">
        <v>0.67859999999999998</v>
      </c>
    </row>
    <row r="28" spans="1:11" ht="14.5" x14ac:dyDescent="0.35">
      <c r="A28" s="38" t="s">
        <v>510</v>
      </c>
      <c r="B28" s="38" t="s">
        <v>306</v>
      </c>
      <c r="C28" s="40">
        <v>3.3399999999999999E-2</v>
      </c>
      <c r="D28" s="40">
        <v>7.0300000000000001E-2</v>
      </c>
      <c r="E28" s="40">
        <v>7.7999999999999996E-3</v>
      </c>
      <c r="F28" s="40">
        <v>7.5300000000000006E-2</v>
      </c>
      <c r="G28" s="40">
        <v>1E-3</v>
      </c>
      <c r="H28" s="40">
        <v>1.8599999999999998E-2</v>
      </c>
      <c r="I28" s="40">
        <v>7.1999999999999998E-3</v>
      </c>
      <c r="J28" s="40">
        <v>0</v>
      </c>
      <c r="K28" s="40">
        <v>3.7499999999999999E-2</v>
      </c>
    </row>
    <row r="29" spans="1:11" ht="14.5" x14ac:dyDescent="0.35">
      <c r="A29" s="38" t="s">
        <v>511</v>
      </c>
      <c r="B29" s="38" t="s">
        <v>306</v>
      </c>
      <c r="C29" s="40">
        <v>1.8911</v>
      </c>
      <c r="D29" s="40">
        <v>0</v>
      </c>
      <c r="E29" s="40">
        <v>0</v>
      </c>
      <c r="F29" s="40">
        <v>4.0000000000000002E-4</v>
      </c>
      <c r="G29" s="40">
        <v>0</v>
      </c>
      <c r="H29" s="40">
        <v>0.19170000000000001</v>
      </c>
      <c r="I29" s="40">
        <v>0</v>
      </c>
      <c r="J29" s="40">
        <v>0</v>
      </c>
      <c r="K29" s="40">
        <v>0.66110000000000002</v>
      </c>
    </row>
    <row r="30" spans="1:11" ht="14.5" x14ac:dyDescent="0.35">
      <c r="A30" s="38" t="s">
        <v>512</v>
      </c>
      <c r="B30" s="38" t="s">
        <v>306</v>
      </c>
      <c r="C30" s="40">
        <v>0</v>
      </c>
      <c r="D30" s="40">
        <v>1.8954</v>
      </c>
      <c r="E30" s="40">
        <v>2.3635000000000002</v>
      </c>
      <c r="F30" s="40">
        <v>1.9585999999999999</v>
      </c>
      <c r="G30" s="40">
        <v>1.7854000000000001</v>
      </c>
      <c r="H30" s="40">
        <v>0</v>
      </c>
      <c r="I30" s="40">
        <v>2.5655999999999999</v>
      </c>
      <c r="J30" s="40">
        <v>1.675</v>
      </c>
      <c r="K30" s="40">
        <v>1.2968999999999999</v>
      </c>
    </row>
    <row r="31" spans="1:11" ht="14.5" x14ac:dyDescent="0.35">
      <c r="A31" s="38" t="s">
        <v>513</v>
      </c>
      <c r="B31" s="38" t="s">
        <v>306</v>
      </c>
      <c r="C31" s="40">
        <v>0</v>
      </c>
      <c r="D31" s="40">
        <v>1.6400000000000001E-2</v>
      </c>
      <c r="E31" s="40">
        <v>0.1787</v>
      </c>
      <c r="F31" s="40">
        <v>0.19309999999999999</v>
      </c>
      <c r="G31" s="40">
        <v>7.3899999999999993E-2</v>
      </c>
      <c r="H31" s="40">
        <v>0.15290000000000001</v>
      </c>
      <c r="I31" s="40">
        <v>6.2600000000000003E-2</v>
      </c>
      <c r="J31" s="40">
        <v>1.6000000000000001E-3</v>
      </c>
      <c r="K31" s="40">
        <v>6.9400000000000003E-2</v>
      </c>
    </row>
    <row r="32" spans="1:11" ht="14.5" x14ac:dyDescent="0.35">
      <c r="A32" s="41" t="s">
        <v>304</v>
      </c>
      <c r="B32" s="41" t="s">
        <v>306</v>
      </c>
      <c r="C32" s="43">
        <v>100</v>
      </c>
      <c r="D32" s="43">
        <v>100</v>
      </c>
      <c r="E32" s="43">
        <v>100</v>
      </c>
      <c r="F32" s="43">
        <v>100</v>
      </c>
      <c r="G32" s="43">
        <v>100</v>
      </c>
      <c r="H32" s="43">
        <v>100</v>
      </c>
      <c r="I32" s="43">
        <v>100</v>
      </c>
      <c r="J32" s="43">
        <v>100</v>
      </c>
      <c r="K32" s="43">
        <v>100</v>
      </c>
    </row>
    <row r="33" spans="1:11" ht="14.5" x14ac:dyDescent="0.35">
      <c r="A33" s="100" t="s">
        <v>514</v>
      </c>
      <c r="B33" s="99"/>
      <c r="C33" s="99"/>
      <c r="D33" s="99"/>
      <c r="E33" s="99"/>
      <c r="F33" s="99"/>
      <c r="G33" s="99"/>
      <c r="H33" s="99"/>
      <c r="I33" s="99"/>
      <c r="J33" s="99"/>
      <c r="K33" s="99"/>
    </row>
    <row r="34" spans="1:11" ht="14.5" x14ac:dyDescent="0.35">
      <c r="A34" s="44"/>
      <c r="B34" s="35"/>
      <c r="C34" s="35"/>
      <c r="D34" s="35"/>
      <c r="E34" s="35"/>
      <c r="F34" s="35"/>
      <c r="G34" s="35"/>
      <c r="H34" s="35"/>
      <c r="I34" s="35"/>
      <c r="J34" s="35"/>
      <c r="K34" s="35"/>
    </row>
    <row r="35" spans="1:11" ht="14.5" x14ac:dyDescent="0.35">
      <c r="A35" s="35" t="s">
        <v>290</v>
      </c>
      <c r="B35" s="35"/>
      <c r="C35" s="35"/>
      <c r="D35" s="35"/>
      <c r="E35" s="35"/>
      <c r="F35" s="35"/>
      <c r="G35" s="35"/>
      <c r="H35" s="35"/>
      <c r="I35" s="35"/>
      <c r="J35" s="35"/>
      <c r="K35" s="35"/>
    </row>
    <row r="36" spans="1:11" ht="14.5" x14ac:dyDescent="0.35">
      <c r="A36" s="45" t="s">
        <v>291</v>
      </c>
      <c r="B36" s="35"/>
      <c r="C36" s="35"/>
      <c r="D36" s="35"/>
      <c r="E36" s="35"/>
      <c r="F36" s="35"/>
      <c r="G36" s="35"/>
      <c r="H36" s="35"/>
      <c r="I36" s="35"/>
      <c r="J36" s="35"/>
      <c r="K36" s="35"/>
    </row>
    <row r="37" spans="1:11" ht="14.5" x14ac:dyDescent="0.35">
      <c r="A37" s="35"/>
      <c r="B37" s="35"/>
      <c r="C37" s="35"/>
      <c r="D37" s="35"/>
      <c r="E37" s="35"/>
      <c r="F37" s="35"/>
      <c r="G37" s="35"/>
      <c r="H37" s="35"/>
      <c r="I37" s="35"/>
      <c r="J37" s="35"/>
      <c r="K37" s="35"/>
    </row>
    <row r="38" spans="1:11" ht="14.5" x14ac:dyDescent="0.35">
      <c r="A38" s="45" t="s">
        <v>3</v>
      </c>
      <c r="B38" s="35"/>
      <c r="C38" s="35"/>
      <c r="D38" s="35"/>
      <c r="E38" s="35"/>
      <c r="F38" s="35"/>
      <c r="G38" s="35"/>
      <c r="H38" s="35"/>
      <c r="I38" s="35"/>
      <c r="J38" s="35"/>
      <c r="K38" s="35"/>
    </row>
    <row r="39" spans="1:11" ht="14.5" x14ac:dyDescent="0.35">
      <c r="A39" s="35"/>
      <c r="B39" s="35"/>
      <c r="C39" s="35"/>
      <c r="D39" s="35"/>
      <c r="E39" s="35"/>
      <c r="F39" s="35"/>
      <c r="G39" s="35"/>
      <c r="H39" s="35"/>
      <c r="I39" s="35"/>
      <c r="J39" s="35"/>
      <c r="K39" s="35"/>
    </row>
    <row r="40" spans="1:11" ht="14.5" x14ac:dyDescent="0.35">
      <c r="A40" s="45" t="s">
        <v>292</v>
      </c>
      <c r="B40" s="35"/>
      <c r="C40" s="35"/>
      <c r="D40" s="35"/>
      <c r="E40" s="35"/>
      <c r="F40" s="35"/>
      <c r="G40" s="35"/>
      <c r="H40" s="35"/>
      <c r="I40" s="35"/>
      <c r="J40" s="35"/>
      <c r="K40" s="35"/>
    </row>
  </sheetData>
  <mergeCells count="2">
    <mergeCell ref="A33:K33"/>
    <mergeCell ref="A1:K1"/>
  </mergeCells>
  <hyperlinks>
    <hyperlink ref="A36" r:id="rId1" xr:uid="{00000000-0004-0000-1800-000000000000}"/>
    <hyperlink ref="A38" location="'Technical specifications'!A1" display="Technical specifications" xr:uid="{00000000-0004-0000-1800-000001000000}"/>
    <hyperlink ref="A40" location="Contents!A1" display="Back to contents" xr:uid="{00000000-0004-0000-18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G39"/>
  <sheetViews>
    <sheetView workbookViewId="0">
      <selection sqref="A1:G1"/>
    </sheetView>
  </sheetViews>
  <sheetFormatPr defaultRowHeight="14.75" customHeight="1" x14ac:dyDescent="0.35"/>
  <cols>
    <col min="1" max="1" width="15" customWidth="1"/>
    <col min="2" max="2" width="38" customWidth="1"/>
    <col min="3" max="7" width="11.1796875" customWidth="1"/>
  </cols>
  <sheetData>
    <row r="1" spans="1:7" ht="33.75" customHeight="1" x14ac:dyDescent="0.35">
      <c r="A1" s="96" t="s">
        <v>515</v>
      </c>
      <c r="B1" s="97"/>
      <c r="C1" s="97"/>
      <c r="D1" s="97"/>
      <c r="E1" s="97"/>
      <c r="F1" s="97"/>
      <c r="G1" s="97"/>
    </row>
    <row r="2" spans="1:7" ht="14.5" x14ac:dyDescent="0.35">
      <c r="A2" s="36" t="s">
        <v>293</v>
      </c>
      <c r="B2" s="36" t="s">
        <v>294</v>
      </c>
      <c r="C2" s="37" t="s">
        <v>277</v>
      </c>
      <c r="D2" s="37" t="s">
        <v>278</v>
      </c>
      <c r="E2" s="37" t="s">
        <v>279</v>
      </c>
      <c r="F2" s="37" t="s">
        <v>280</v>
      </c>
      <c r="G2" s="37" t="s">
        <v>281</v>
      </c>
    </row>
    <row r="3" spans="1:7" ht="14.5" x14ac:dyDescent="0.35">
      <c r="A3" s="38" t="s">
        <v>295</v>
      </c>
      <c r="B3" s="38" t="s">
        <v>516</v>
      </c>
      <c r="C3" s="39">
        <v>14</v>
      </c>
      <c r="D3" s="39">
        <v>14</v>
      </c>
      <c r="E3" s="39">
        <v>15</v>
      </c>
      <c r="F3" s="39">
        <v>15</v>
      </c>
      <c r="G3" s="39">
        <v>15</v>
      </c>
    </row>
    <row r="4" spans="1:7" ht="14.5" x14ac:dyDescent="0.35">
      <c r="A4" s="38" t="s">
        <v>295</v>
      </c>
      <c r="B4" s="38" t="s">
        <v>517</v>
      </c>
      <c r="C4" s="39">
        <v>81</v>
      </c>
      <c r="D4" s="39">
        <v>89</v>
      </c>
      <c r="E4" s="39">
        <v>100</v>
      </c>
      <c r="F4" s="39">
        <v>98</v>
      </c>
      <c r="G4" s="39">
        <v>104</v>
      </c>
    </row>
    <row r="5" spans="1:7" ht="14.5" x14ac:dyDescent="0.35">
      <c r="A5" s="38" t="s">
        <v>295</v>
      </c>
      <c r="B5" s="38" t="s">
        <v>518</v>
      </c>
      <c r="C5" s="39">
        <v>79.157399999999996</v>
      </c>
      <c r="D5" s="39">
        <v>77.093299999999999</v>
      </c>
      <c r="E5" s="39">
        <v>74.022999999999996</v>
      </c>
      <c r="F5" s="39">
        <v>74.360500000000002</v>
      </c>
      <c r="G5" s="39">
        <v>73.251800000000003</v>
      </c>
    </row>
    <row r="6" spans="1:7" ht="14.5" x14ac:dyDescent="0.35">
      <c r="A6" s="38" t="s">
        <v>297</v>
      </c>
      <c r="B6" s="38" t="s">
        <v>516</v>
      </c>
      <c r="C6" s="39">
        <v>20</v>
      </c>
      <c r="D6" s="39">
        <v>22</v>
      </c>
      <c r="E6" s="39">
        <v>20</v>
      </c>
      <c r="F6" s="39">
        <v>16</v>
      </c>
      <c r="G6" s="39">
        <v>15</v>
      </c>
    </row>
    <row r="7" spans="1:7" ht="14.5" x14ac:dyDescent="0.35">
      <c r="A7" s="38" t="s">
        <v>297</v>
      </c>
      <c r="B7" s="38" t="s">
        <v>517</v>
      </c>
      <c r="C7" s="39">
        <v>106</v>
      </c>
      <c r="D7" s="39">
        <v>118</v>
      </c>
      <c r="E7" s="39">
        <v>114</v>
      </c>
      <c r="F7" s="39">
        <v>94</v>
      </c>
      <c r="G7" s="39">
        <v>91</v>
      </c>
    </row>
    <row r="8" spans="1:7" ht="14.5" x14ac:dyDescent="0.35">
      <c r="A8" s="38" t="s">
        <v>297</v>
      </c>
      <c r="B8" s="38" t="s">
        <v>518</v>
      </c>
      <c r="C8" s="39">
        <v>67.819699999999997</v>
      </c>
      <c r="D8" s="39">
        <v>63.393300000000004</v>
      </c>
      <c r="E8" s="39">
        <v>65.137699999999995</v>
      </c>
      <c r="F8" s="39">
        <v>71.009</v>
      </c>
      <c r="G8" s="39">
        <v>71.532799999999995</v>
      </c>
    </row>
    <row r="9" spans="1:7" ht="14.5" x14ac:dyDescent="0.35">
      <c r="A9" s="38" t="s">
        <v>298</v>
      </c>
      <c r="B9" s="38" t="s">
        <v>516</v>
      </c>
      <c r="C9" s="39">
        <v>15</v>
      </c>
      <c r="D9" s="39">
        <v>18</v>
      </c>
      <c r="E9" s="39">
        <v>18</v>
      </c>
      <c r="F9" s="39">
        <v>16</v>
      </c>
      <c r="G9" s="39">
        <v>15</v>
      </c>
    </row>
    <row r="10" spans="1:7" ht="14.5" x14ac:dyDescent="0.35">
      <c r="A10" s="38" t="s">
        <v>298</v>
      </c>
      <c r="B10" s="38" t="s">
        <v>517</v>
      </c>
      <c r="C10" s="39">
        <v>80</v>
      </c>
      <c r="D10" s="39">
        <v>93</v>
      </c>
      <c r="E10" s="39">
        <v>91</v>
      </c>
      <c r="F10" s="39">
        <v>84</v>
      </c>
      <c r="G10" s="39">
        <v>78</v>
      </c>
    </row>
    <row r="11" spans="1:7" ht="14.5" x14ac:dyDescent="0.35">
      <c r="A11" s="38" t="s">
        <v>298</v>
      </c>
      <c r="B11" s="38" t="s">
        <v>518</v>
      </c>
      <c r="C11" s="39">
        <v>73.596699999999998</v>
      </c>
      <c r="D11" s="39">
        <v>68.336200000000005</v>
      </c>
      <c r="E11" s="39">
        <v>67.127099999999999</v>
      </c>
      <c r="F11" s="39">
        <v>70.002799999999993</v>
      </c>
      <c r="G11" s="39">
        <v>72.438800000000001</v>
      </c>
    </row>
    <row r="12" spans="1:7" ht="14.5" x14ac:dyDescent="0.35">
      <c r="A12" s="38" t="s">
        <v>299</v>
      </c>
      <c r="B12" s="38" t="s">
        <v>516</v>
      </c>
      <c r="C12" s="39">
        <v>31</v>
      </c>
      <c r="D12" s="39">
        <v>40</v>
      </c>
      <c r="E12" s="39">
        <v>41</v>
      </c>
      <c r="F12" s="39">
        <v>42</v>
      </c>
      <c r="G12" s="39">
        <v>44</v>
      </c>
    </row>
    <row r="13" spans="1:7" ht="14.5" x14ac:dyDescent="0.35">
      <c r="A13" s="38" t="s">
        <v>299</v>
      </c>
      <c r="B13" s="38" t="s">
        <v>517</v>
      </c>
      <c r="C13" s="39">
        <v>139</v>
      </c>
      <c r="D13" s="39">
        <v>170</v>
      </c>
      <c r="E13" s="39">
        <v>191</v>
      </c>
      <c r="F13" s="39">
        <v>194</v>
      </c>
      <c r="G13" s="39">
        <v>229</v>
      </c>
    </row>
    <row r="14" spans="1:7" ht="14.5" x14ac:dyDescent="0.35">
      <c r="A14" s="38" t="s">
        <v>299</v>
      </c>
      <c r="B14" s="38" t="s">
        <v>518</v>
      </c>
      <c r="C14" s="39">
        <v>58.414099999999998</v>
      </c>
      <c r="D14" s="39">
        <v>50.2515</v>
      </c>
      <c r="E14" s="39">
        <v>48.457099999999997</v>
      </c>
      <c r="F14" s="39">
        <v>48.014000000000003</v>
      </c>
      <c r="G14" s="39">
        <v>45.578200000000002</v>
      </c>
    </row>
    <row r="15" spans="1:7" ht="14.5" x14ac:dyDescent="0.35">
      <c r="A15" s="38" t="s">
        <v>300</v>
      </c>
      <c r="B15" s="38" t="s">
        <v>516</v>
      </c>
      <c r="C15" s="39">
        <v>22</v>
      </c>
      <c r="D15" s="39">
        <v>26</v>
      </c>
      <c r="E15" s="39">
        <v>32</v>
      </c>
      <c r="F15" s="39">
        <v>33</v>
      </c>
      <c r="G15" s="39">
        <v>29</v>
      </c>
    </row>
    <row r="16" spans="1:7" ht="14.5" x14ac:dyDescent="0.35">
      <c r="A16" s="38" t="s">
        <v>300</v>
      </c>
      <c r="B16" s="38" t="s">
        <v>517</v>
      </c>
      <c r="C16" s="39">
        <v>140</v>
      </c>
      <c r="D16" s="39">
        <v>165</v>
      </c>
      <c r="E16" s="39">
        <v>212</v>
      </c>
      <c r="F16" s="39">
        <v>197</v>
      </c>
      <c r="G16" s="39">
        <v>160</v>
      </c>
    </row>
    <row r="17" spans="1:7" ht="14.5" x14ac:dyDescent="0.35">
      <c r="A17" s="38" t="s">
        <v>300</v>
      </c>
      <c r="B17" s="38" t="s">
        <v>518</v>
      </c>
      <c r="C17" s="39">
        <v>60.7761</v>
      </c>
      <c r="D17" s="39">
        <v>55.277799999999999</v>
      </c>
      <c r="E17" s="39">
        <v>49.783900000000003</v>
      </c>
      <c r="F17" s="39">
        <v>49.087299999999999</v>
      </c>
      <c r="G17" s="39">
        <v>53.404899999999998</v>
      </c>
    </row>
    <row r="18" spans="1:7" ht="14.5" x14ac:dyDescent="0.35">
      <c r="A18" s="38" t="s">
        <v>301</v>
      </c>
      <c r="B18" s="38" t="s">
        <v>516</v>
      </c>
      <c r="C18" s="39">
        <v>30</v>
      </c>
      <c r="D18" s="39">
        <v>31</v>
      </c>
      <c r="E18" s="39">
        <v>30</v>
      </c>
      <c r="F18" s="39">
        <v>31</v>
      </c>
      <c r="G18" s="39">
        <v>35</v>
      </c>
    </row>
    <row r="19" spans="1:7" ht="14.5" x14ac:dyDescent="0.35">
      <c r="A19" s="38" t="s">
        <v>301</v>
      </c>
      <c r="B19" s="38" t="s">
        <v>517</v>
      </c>
      <c r="C19" s="39">
        <v>127</v>
      </c>
      <c r="D19" s="39">
        <v>143</v>
      </c>
      <c r="E19" s="39">
        <v>143</v>
      </c>
      <c r="F19" s="39">
        <v>149</v>
      </c>
      <c r="G19" s="39">
        <v>179</v>
      </c>
    </row>
    <row r="20" spans="1:7" ht="14.5" x14ac:dyDescent="0.35">
      <c r="A20" s="38" t="s">
        <v>301</v>
      </c>
      <c r="B20" s="38" t="s">
        <v>518</v>
      </c>
      <c r="C20" s="39">
        <v>58.424599999999998</v>
      </c>
      <c r="D20" s="39">
        <v>53.435099999999998</v>
      </c>
      <c r="E20" s="39">
        <v>52.296799999999998</v>
      </c>
      <c r="F20" s="39">
        <v>50.978299999999997</v>
      </c>
      <c r="G20" s="39">
        <v>46.0197</v>
      </c>
    </row>
    <row r="21" spans="1:7" ht="14.5" x14ac:dyDescent="0.35">
      <c r="A21" s="38" t="s">
        <v>302</v>
      </c>
      <c r="B21" s="38" t="s">
        <v>516</v>
      </c>
      <c r="C21" s="39">
        <v>48</v>
      </c>
      <c r="D21" s="39">
        <v>47</v>
      </c>
      <c r="E21" s="39">
        <v>36</v>
      </c>
      <c r="F21" s="39">
        <v>25</v>
      </c>
      <c r="G21" s="39">
        <v>25</v>
      </c>
    </row>
    <row r="22" spans="1:7" ht="14.5" x14ac:dyDescent="0.35">
      <c r="A22" s="38" t="s">
        <v>302</v>
      </c>
      <c r="B22" s="38" t="s">
        <v>517</v>
      </c>
      <c r="C22" s="39">
        <v>181</v>
      </c>
      <c r="D22" s="39">
        <v>203</v>
      </c>
      <c r="E22" s="39">
        <v>191</v>
      </c>
      <c r="F22" s="39">
        <v>124</v>
      </c>
      <c r="G22" s="39">
        <v>106</v>
      </c>
    </row>
    <row r="23" spans="1:7" ht="14.5" x14ac:dyDescent="0.35">
      <c r="A23" s="38" t="s">
        <v>302</v>
      </c>
      <c r="B23" s="38" t="s">
        <v>518</v>
      </c>
      <c r="C23" s="39">
        <v>47.875</v>
      </c>
      <c r="D23" s="39">
        <v>48.2545</v>
      </c>
      <c r="E23" s="39">
        <v>50.912199999999999</v>
      </c>
      <c r="F23" s="39">
        <v>61.665100000000002</v>
      </c>
      <c r="G23" s="39">
        <v>61.672400000000003</v>
      </c>
    </row>
    <row r="24" spans="1:7" ht="14.5" x14ac:dyDescent="0.35">
      <c r="A24" s="38" t="s">
        <v>303</v>
      </c>
      <c r="B24" s="38" t="s">
        <v>516</v>
      </c>
      <c r="C24" s="39">
        <v>27</v>
      </c>
      <c r="D24" s="39">
        <v>29</v>
      </c>
      <c r="E24" s="39">
        <v>38</v>
      </c>
      <c r="F24" s="39">
        <v>42</v>
      </c>
      <c r="G24" s="39">
        <v>37</v>
      </c>
    </row>
    <row r="25" spans="1:7" ht="14.5" x14ac:dyDescent="0.35">
      <c r="A25" s="38" t="s">
        <v>303</v>
      </c>
      <c r="B25" s="38" t="s">
        <v>517</v>
      </c>
      <c r="C25" s="39">
        <v>117</v>
      </c>
      <c r="D25" s="39">
        <v>134</v>
      </c>
      <c r="E25" s="39">
        <v>161</v>
      </c>
      <c r="F25" s="39">
        <v>187</v>
      </c>
      <c r="G25" s="39">
        <v>176</v>
      </c>
    </row>
    <row r="26" spans="1:7" ht="14.5" x14ac:dyDescent="0.35">
      <c r="A26" s="38" t="s">
        <v>303</v>
      </c>
      <c r="B26" s="38" t="s">
        <v>518</v>
      </c>
      <c r="C26" s="39">
        <v>60.932200000000002</v>
      </c>
      <c r="D26" s="39">
        <v>57.173000000000002</v>
      </c>
      <c r="E26" s="39">
        <v>49.982999999999997</v>
      </c>
      <c r="F26" s="39">
        <v>47.322499999999998</v>
      </c>
      <c r="G26" s="39">
        <v>48.188000000000002</v>
      </c>
    </row>
    <row r="27" spans="1:7" ht="14.5" x14ac:dyDescent="0.35">
      <c r="A27" s="46" t="s">
        <v>304</v>
      </c>
      <c r="B27" s="46" t="s">
        <v>516</v>
      </c>
      <c r="C27" s="47">
        <v>18</v>
      </c>
      <c r="D27" s="47">
        <v>20</v>
      </c>
      <c r="E27" s="47">
        <v>20</v>
      </c>
      <c r="F27" s="47">
        <v>18</v>
      </c>
      <c r="G27" s="47">
        <v>18</v>
      </c>
    </row>
    <row r="28" spans="1:7" ht="14.5" x14ac:dyDescent="0.35">
      <c r="A28" s="46" t="s">
        <v>304</v>
      </c>
      <c r="B28" s="46" t="s">
        <v>517</v>
      </c>
      <c r="C28" s="47">
        <v>102</v>
      </c>
      <c r="D28" s="47">
        <v>117</v>
      </c>
      <c r="E28" s="47">
        <v>124</v>
      </c>
      <c r="F28" s="47">
        <v>117</v>
      </c>
      <c r="G28" s="47">
        <v>118</v>
      </c>
    </row>
    <row r="29" spans="1:7" ht="14.5" x14ac:dyDescent="0.35">
      <c r="A29" s="41" t="s">
        <v>304</v>
      </c>
      <c r="B29" s="41" t="s">
        <v>518</v>
      </c>
      <c r="C29" s="42">
        <v>70.761600000000001</v>
      </c>
      <c r="D29" s="42">
        <v>66.547600000000003</v>
      </c>
      <c r="E29" s="42">
        <v>64.9529</v>
      </c>
      <c r="F29" s="42">
        <v>66.959999999999994</v>
      </c>
      <c r="G29" s="42">
        <v>67.090500000000006</v>
      </c>
    </row>
    <row r="30" spans="1:7" ht="23" customHeight="1" x14ac:dyDescent="0.35">
      <c r="A30" s="100" t="s">
        <v>519</v>
      </c>
      <c r="B30" s="99"/>
      <c r="C30" s="99"/>
      <c r="D30" s="99"/>
      <c r="E30" s="99"/>
      <c r="F30" s="99"/>
      <c r="G30" s="99"/>
    </row>
    <row r="31" spans="1:7" ht="14.5" x14ac:dyDescent="0.35">
      <c r="A31" s="100" t="s">
        <v>520</v>
      </c>
      <c r="B31" s="99"/>
      <c r="C31" s="99"/>
      <c r="D31" s="99"/>
      <c r="E31" s="99"/>
      <c r="F31" s="99"/>
      <c r="G31" s="99"/>
    </row>
    <row r="32" spans="1:7" ht="20" customHeight="1" x14ac:dyDescent="0.35">
      <c r="A32" s="100" t="s">
        <v>521</v>
      </c>
      <c r="B32" s="99"/>
      <c r="C32" s="99"/>
      <c r="D32" s="99"/>
      <c r="E32" s="99"/>
      <c r="F32" s="99"/>
      <c r="G32" s="99"/>
    </row>
    <row r="33" spans="1:7" ht="14.5" x14ac:dyDescent="0.35">
      <c r="A33" s="44"/>
      <c r="B33" s="35"/>
      <c r="C33" s="35"/>
      <c r="D33" s="35"/>
      <c r="E33" s="35"/>
      <c r="F33" s="35"/>
      <c r="G33" s="35"/>
    </row>
    <row r="34" spans="1:7" ht="14.5" x14ac:dyDescent="0.35">
      <c r="A34" s="35" t="s">
        <v>290</v>
      </c>
      <c r="B34" s="35"/>
      <c r="C34" s="35"/>
      <c r="D34" s="35"/>
      <c r="E34" s="35"/>
      <c r="F34" s="35"/>
      <c r="G34" s="35"/>
    </row>
    <row r="35" spans="1:7" ht="14.5" x14ac:dyDescent="0.35">
      <c r="A35" s="45" t="s">
        <v>291</v>
      </c>
      <c r="B35" s="35"/>
      <c r="C35" s="35"/>
      <c r="D35" s="35"/>
      <c r="E35" s="35"/>
      <c r="F35" s="35"/>
      <c r="G35" s="35"/>
    </row>
    <row r="36" spans="1:7" ht="14.5" x14ac:dyDescent="0.35">
      <c r="A36" s="35"/>
      <c r="B36" s="35"/>
      <c r="C36" s="35"/>
      <c r="D36" s="35"/>
      <c r="E36" s="35"/>
      <c r="F36" s="35"/>
      <c r="G36" s="35"/>
    </row>
    <row r="37" spans="1:7" ht="14.5" x14ac:dyDescent="0.35">
      <c r="A37" s="45" t="s">
        <v>3</v>
      </c>
      <c r="B37" s="35"/>
      <c r="C37" s="35"/>
      <c r="D37" s="35"/>
      <c r="E37" s="35"/>
      <c r="F37" s="35"/>
      <c r="G37" s="35"/>
    </row>
    <row r="38" spans="1:7" ht="14.5" x14ac:dyDescent="0.35">
      <c r="A38" s="35"/>
      <c r="B38" s="35"/>
      <c r="C38" s="35"/>
      <c r="D38" s="35"/>
      <c r="E38" s="35"/>
      <c r="F38" s="35"/>
      <c r="G38" s="35"/>
    </row>
    <row r="39" spans="1:7" ht="14.5" x14ac:dyDescent="0.35">
      <c r="A39" s="45" t="s">
        <v>292</v>
      </c>
      <c r="B39" s="35"/>
      <c r="C39" s="35"/>
      <c r="D39" s="35"/>
      <c r="E39" s="35"/>
      <c r="F39" s="35"/>
      <c r="G39" s="35"/>
    </row>
  </sheetData>
  <mergeCells count="4">
    <mergeCell ref="A32:G32"/>
    <mergeCell ref="A31:G31"/>
    <mergeCell ref="A30:G30"/>
    <mergeCell ref="A1:G1"/>
  </mergeCells>
  <hyperlinks>
    <hyperlink ref="A35" r:id="rId1" xr:uid="{00000000-0004-0000-1900-000000000000}"/>
    <hyperlink ref="A37" location="'Technical specifications'!A1" display="Technical specifications" xr:uid="{00000000-0004-0000-1900-000001000000}"/>
    <hyperlink ref="A39" location="Contents!A1" display="Back to contents" xr:uid="{00000000-0004-0000-19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41"/>
  <sheetViews>
    <sheetView workbookViewId="0">
      <selection sqref="A1:K1"/>
    </sheetView>
  </sheetViews>
  <sheetFormatPr defaultRowHeight="14.75" customHeight="1" x14ac:dyDescent="0.35"/>
  <cols>
    <col min="1" max="1" width="54" customWidth="1"/>
    <col min="2" max="2" width="15" customWidth="1"/>
    <col min="3" max="11" width="8.453125" customWidth="1"/>
  </cols>
  <sheetData>
    <row r="1" spans="1:11" ht="33.75" customHeight="1" x14ac:dyDescent="0.35">
      <c r="A1" s="96" t="s">
        <v>522</v>
      </c>
      <c r="B1" s="97"/>
      <c r="C1" s="97"/>
      <c r="D1" s="97"/>
      <c r="E1" s="97"/>
      <c r="F1" s="97"/>
      <c r="G1" s="97"/>
      <c r="H1" s="97"/>
      <c r="I1" s="97"/>
      <c r="J1" s="97"/>
      <c r="K1" s="97"/>
    </row>
    <row r="2" spans="1:11" ht="14.5" x14ac:dyDescent="0.35">
      <c r="A2" s="36" t="s">
        <v>276</v>
      </c>
      <c r="B2" s="36" t="s">
        <v>337</v>
      </c>
      <c r="C2" s="37" t="s">
        <v>295</v>
      </c>
      <c r="D2" s="37" t="s">
        <v>297</v>
      </c>
      <c r="E2" s="37" t="s">
        <v>298</v>
      </c>
      <c r="F2" s="37" t="s">
        <v>299</v>
      </c>
      <c r="G2" s="37" t="s">
        <v>300</v>
      </c>
      <c r="H2" s="37" t="s">
        <v>301</v>
      </c>
      <c r="I2" s="37" t="s">
        <v>302</v>
      </c>
      <c r="J2" s="37" t="s">
        <v>303</v>
      </c>
      <c r="K2" s="37" t="s">
        <v>304</v>
      </c>
    </row>
    <row r="3" spans="1:11" ht="14.5" x14ac:dyDescent="0.35">
      <c r="A3" s="38" t="s">
        <v>284</v>
      </c>
      <c r="B3" s="38" t="s">
        <v>343</v>
      </c>
      <c r="C3" s="39">
        <v>73.819199999999995</v>
      </c>
      <c r="D3" s="39">
        <v>81.201800000000006</v>
      </c>
      <c r="E3" s="39">
        <v>81.175399999999996</v>
      </c>
      <c r="F3" s="39">
        <v>82.1113</v>
      </c>
      <c r="G3" s="39">
        <v>77.963499999999996</v>
      </c>
      <c r="H3" s="39">
        <v>85.339500000000001</v>
      </c>
      <c r="I3" s="39">
        <v>81.668800000000005</v>
      </c>
      <c r="J3" s="39">
        <v>87.395600000000002</v>
      </c>
      <c r="K3" s="39">
        <v>78.968599999999995</v>
      </c>
    </row>
    <row r="4" spans="1:11" ht="14.5" x14ac:dyDescent="0.35">
      <c r="A4" s="38" t="s">
        <v>284</v>
      </c>
      <c r="B4" s="38" t="s">
        <v>344</v>
      </c>
      <c r="C4" s="39">
        <v>54.6736</v>
      </c>
      <c r="D4" s="39">
        <v>69.476799999999997</v>
      </c>
      <c r="E4" s="39">
        <v>52.2395</v>
      </c>
      <c r="F4" s="39">
        <v>60.216299999999997</v>
      </c>
      <c r="G4" s="39">
        <v>62.142299999999999</v>
      </c>
      <c r="H4" s="39">
        <v>62.702300000000001</v>
      </c>
      <c r="I4" s="39">
        <v>71.762500000000003</v>
      </c>
      <c r="J4" s="39">
        <v>66.677999999999997</v>
      </c>
      <c r="K4" s="39">
        <v>59.214799999999997</v>
      </c>
    </row>
    <row r="5" spans="1:11" ht="14.5" x14ac:dyDescent="0.35">
      <c r="A5" s="38" t="s">
        <v>284</v>
      </c>
      <c r="B5" s="38" t="s">
        <v>345</v>
      </c>
      <c r="C5" s="39">
        <v>39.528300000000002</v>
      </c>
      <c r="D5" s="39">
        <v>51.1631</v>
      </c>
      <c r="E5" s="39">
        <v>37.345300000000002</v>
      </c>
      <c r="F5" s="39">
        <v>36.694299999999998</v>
      </c>
      <c r="G5" s="39">
        <v>40.503</v>
      </c>
      <c r="H5" s="39">
        <v>39.7502</v>
      </c>
      <c r="I5" s="39">
        <v>52.554000000000002</v>
      </c>
      <c r="J5" s="39">
        <v>54.086799999999997</v>
      </c>
      <c r="K5" s="39">
        <v>41.942900000000002</v>
      </c>
    </row>
    <row r="6" spans="1:11" ht="14.5" x14ac:dyDescent="0.35">
      <c r="A6" s="38" t="s">
        <v>284</v>
      </c>
      <c r="B6" s="38" t="s">
        <v>346</v>
      </c>
      <c r="C6" s="39">
        <v>16.286200000000001</v>
      </c>
      <c r="D6" s="39">
        <v>26.786899999999999</v>
      </c>
      <c r="E6" s="39">
        <v>16.884599999999999</v>
      </c>
      <c r="F6" s="39">
        <v>15.492599999999999</v>
      </c>
      <c r="G6" s="39">
        <v>21.104900000000001</v>
      </c>
      <c r="H6" s="39">
        <v>18.4956</v>
      </c>
      <c r="I6" s="39">
        <v>31.792200000000001</v>
      </c>
      <c r="J6" s="39">
        <v>29.064</v>
      </c>
      <c r="K6" s="39">
        <v>19.720600000000001</v>
      </c>
    </row>
    <row r="7" spans="1:11" ht="14.5" x14ac:dyDescent="0.35">
      <c r="A7" s="38" t="s">
        <v>284</v>
      </c>
      <c r="B7" s="38" t="s">
        <v>347</v>
      </c>
      <c r="C7" s="39">
        <v>8.6244999999999994</v>
      </c>
      <c r="D7" s="39">
        <v>9.2347999999999999</v>
      </c>
      <c r="E7" s="39">
        <v>7.9973000000000001</v>
      </c>
      <c r="F7" s="39">
        <v>6.6639999999999997</v>
      </c>
      <c r="G7" s="39">
        <v>6.8064</v>
      </c>
      <c r="H7" s="39">
        <v>5.3853</v>
      </c>
      <c r="I7" s="39">
        <v>13.7097</v>
      </c>
      <c r="J7" s="39">
        <v>8.7332999999999998</v>
      </c>
      <c r="K7" s="39">
        <v>8.5623000000000005</v>
      </c>
    </row>
    <row r="8" spans="1:11" ht="14.5" x14ac:dyDescent="0.35">
      <c r="A8" s="38" t="s">
        <v>284</v>
      </c>
      <c r="B8" s="38" t="s">
        <v>304</v>
      </c>
      <c r="C8" s="39">
        <v>34.055799999999998</v>
      </c>
      <c r="D8" s="39">
        <v>45.099200000000003</v>
      </c>
      <c r="E8" s="39">
        <v>33.744300000000003</v>
      </c>
      <c r="F8" s="39">
        <v>33.984999999999999</v>
      </c>
      <c r="G8" s="39">
        <v>40.5608</v>
      </c>
      <c r="H8" s="39">
        <v>37.599699999999999</v>
      </c>
      <c r="I8" s="39">
        <v>46.615099999999998</v>
      </c>
      <c r="J8" s="39">
        <v>46.043399999999998</v>
      </c>
      <c r="K8" s="39">
        <v>37.487299999999998</v>
      </c>
    </row>
    <row r="9" spans="1:11" ht="14.5" x14ac:dyDescent="0.35">
      <c r="A9" s="38" t="s">
        <v>285</v>
      </c>
      <c r="B9" s="38" t="s">
        <v>343</v>
      </c>
      <c r="C9" s="39">
        <v>70.059399999999997</v>
      </c>
      <c r="D9" s="39">
        <v>69.165999999999997</v>
      </c>
      <c r="E9" s="39">
        <v>74.476500000000001</v>
      </c>
      <c r="F9" s="39">
        <v>61.404800000000002</v>
      </c>
      <c r="G9" s="39">
        <v>73.165700000000001</v>
      </c>
      <c r="H9" s="39">
        <v>66.573400000000007</v>
      </c>
      <c r="I9" s="39">
        <v>69.915300000000002</v>
      </c>
      <c r="J9" s="39">
        <v>90.421499999999995</v>
      </c>
      <c r="K9" s="39">
        <v>70.4529</v>
      </c>
    </row>
    <row r="10" spans="1:11" ht="14.5" x14ac:dyDescent="0.35">
      <c r="A10" s="38" t="s">
        <v>285</v>
      </c>
      <c r="B10" s="38" t="s">
        <v>344</v>
      </c>
      <c r="C10" s="39">
        <v>51.3538</v>
      </c>
      <c r="D10" s="39">
        <v>58.892200000000003</v>
      </c>
      <c r="E10" s="39">
        <v>52.37</v>
      </c>
      <c r="F10" s="39">
        <v>40.038899999999998</v>
      </c>
      <c r="G10" s="39">
        <v>56.153799999999997</v>
      </c>
      <c r="H10" s="39">
        <v>47.665599999999998</v>
      </c>
      <c r="I10" s="39">
        <v>66.445999999999998</v>
      </c>
      <c r="J10" s="39">
        <v>71.374399999999994</v>
      </c>
      <c r="K10" s="39">
        <v>53.140900000000002</v>
      </c>
    </row>
    <row r="11" spans="1:11" ht="14.5" x14ac:dyDescent="0.35">
      <c r="A11" s="38" t="s">
        <v>285</v>
      </c>
      <c r="B11" s="38" t="s">
        <v>345</v>
      </c>
      <c r="C11" s="39">
        <v>37.2087</v>
      </c>
      <c r="D11" s="39">
        <v>42.068800000000003</v>
      </c>
      <c r="E11" s="39">
        <v>39.631100000000004</v>
      </c>
      <c r="F11" s="39">
        <v>23.332000000000001</v>
      </c>
      <c r="G11" s="39">
        <v>37.380699999999997</v>
      </c>
      <c r="H11" s="39">
        <v>32.792999999999999</v>
      </c>
      <c r="I11" s="39">
        <v>46.948300000000003</v>
      </c>
      <c r="J11" s="39">
        <v>56.722499999999997</v>
      </c>
      <c r="K11" s="39">
        <v>38.188400000000001</v>
      </c>
    </row>
    <row r="12" spans="1:11" ht="14.5" x14ac:dyDescent="0.35">
      <c r="A12" s="38" t="s">
        <v>285</v>
      </c>
      <c r="B12" s="38" t="s">
        <v>346</v>
      </c>
      <c r="C12" s="39">
        <v>16.082699999999999</v>
      </c>
      <c r="D12" s="39">
        <v>21.8308</v>
      </c>
      <c r="E12" s="39">
        <v>17.263400000000001</v>
      </c>
      <c r="F12" s="39">
        <v>10.056900000000001</v>
      </c>
      <c r="G12" s="39">
        <v>19.3154</v>
      </c>
      <c r="H12" s="39">
        <v>12.6518</v>
      </c>
      <c r="I12" s="39">
        <v>21.305599999999998</v>
      </c>
      <c r="J12" s="39">
        <v>19.752400000000002</v>
      </c>
      <c r="K12" s="39">
        <v>17.450299999999999</v>
      </c>
    </row>
    <row r="13" spans="1:11" ht="14.5" x14ac:dyDescent="0.35">
      <c r="A13" s="38" t="s">
        <v>285</v>
      </c>
      <c r="B13" s="38" t="s">
        <v>347</v>
      </c>
      <c r="C13" s="39">
        <v>6.2183000000000002</v>
      </c>
      <c r="D13" s="39">
        <v>6.6593999999999998</v>
      </c>
      <c r="E13" s="39">
        <v>5.9873000000000003</v>
      </c>
      <c r="F13" s="39">
        <v>3.8637999999999999</v>
      </c>
      <c r="G13" s="39">
        <v>6.0568</v>
      </c>
      <c r="H13" s="39">
        <v>6.0446999999999997</v>
      </c>
      <c r="I13" s="39">
        <v>4.984</v>
      </c>
      <c r="J13" s="39">
        <v>14.632199999999999</v>
      </c>
      <c r="K13" s="39">
        <v>6.3235999999999999</v>
      </c>
    </row>
    <row r="14" spans="1:11" ht="14.5" x14ac:dyDescent="0.35">
      <c r="A14" s="38" t="s">
        <v>285</v>
      </c>
      <c r="B14" s="38" t="s">
        <v>304</v>
      </c>
      <c r="C14" s="39">
        <v>31.141999999999999</v>
      </c>
      <c r="D14" s="39">
        <v>38.184399999999997</v>
      </c>
      <c r="E14" s="39">
        <v>36.789200000000001</v>
      </c>
      <c r="F14" s="39">
        <v>21.773199999999999</v>
      </c>
      <c r="G14" s="39">
        <v>33.276000000000003</v>
      </c>
      <c r="H14" s="39">
        <v>29.4316</v>
      </c>
      <c r="I14" s="39">
        <v>37.034100000000002</v>
      </c>
      <c r="J14" s="39">
        <v>41.951099999999997</v>
      </c>
      <c r="K14" s="39">
        <v>33.759799999999998</v>
      </c>
    </row>
    <row r="15" spans="1:11" ht="14.5" x14ac:dyDescent="0.35">
      <c r="A15" s="38" t="s">
        <v>286</v>
      </c>
      <c r="B15" s="38" t="s">
        <v>343</v>
      </c>
      <c r="C15" s="39">
        <v>52.051000000000002</v>
      </c>
      <c r="D15" s="39">
        <v>58.620699999999999</v>
      </c>
      <c r="E15" s="39">
        <v>58.659500000000001</v>
      </c>
      <c r="F15" s="39">
        <v>49.081600000000002</v>
      </c>
      <c r="G15" s="39">
        <v>55.637700000000002</v>
      </c>
      <c r="H15" s="39">
        <v>29.6296</v>
      </c>
      <c r="I15" s="39" t="s">
        <v>1278</v>
      </c>
      <c r="J15" s="39" t="s">
        <v>1278</v>
      </c>
      <c r="K15" s="39">
        <v>54.3249</v>
      </c>
    </row>
    <row r="16" spans="1:11" ht="14.5" x14ac:dyDescent="0.35">
      <c r="A16" s="38" t="s">
        <v>286</v>
      </c>
      <c r="B16" s="38" t="s">
        <v>344</v>
      </c>
      <c r="C16" s="39">
        <v>32.855899999999998</v>
      </c>
      <c r="D16" s="39">
        <v>50.042499999999997</v>
      </c>
      <c r="E16" s="39">
        <v>45.579599999999999</v>
      </c>
      <c r="F16" s="39">
        <v>39.9178</v>
      </c>
      <c r="G16" s="39">
        <v>31.5794</v>
      </c>
      <c r="H16" s="39">
        <v>30.1599</v>
      </c>
      <c r="I16" s="39" t="s">
        <v>1278</v>
      </c>
      <c r="J16" s="39" t="s">
        <v>1278</v>
      </c>
      <c r="K16" s="39">
        <v>40.706200000000003</v>
      </c>
    </row>
    <row r="17" spans="1:11" ht="14.5" x14ac:dyDescent="0.35">
      <c r="A17" s="38" t="s">
        <v>286</v>
      </c>
      <c r="B17" s="38" t="s">
        <v>345</v>
      </c>
      <c r="C17" s="39">
        <v>23.129300000000001</v>
      </c>
      <c r="D17" s="39">
        <v>35.060699999999997</v>
      </c>
      <c r="E17" s="39">
        <v>33.109400000000001</v>
      </c>
      <c r="F17" s="39">
        <v>26.555900000000001</v>
      </c>
      <c r="G17" s="39">
        <v>22.243600000000001</v>
      </c>
      <c r="H17" s="39">
        <v>19.0227</v>
      </c>
      <c r="I17" s="39" t="s">
        <v>1278</v>
      </c>
      <c r="J17" s="39" t="s">
        <v>1278</v>
      </c>
      <c r="K17" s="39">
        <v>28.4861</v>
      </c>
    </row>
    <row r="18" spans="1:11" ht="14.5" x14ac:dyDescent="0.35">
      <c r="A18" s="38" t="s">
        <v>286</v>
      </c>
      <c r="B18" s="38" t="s">
        <v>346</v>
      </c>
      <c r="C18" s="39">
        <v>8.4350000000000005</v>
      </c>
      <c r="D18" s="39">
        <v>18.517399999999999</v>
      </c>
      <c r="E18" s="39">
        <v>10.581300000000001</v>
      </c>
      <c r="F18" s="39">
        <v>9.3724000000000007</v>
      </c>
      <c r="G18" s="39">
        <v>8.5525000000000002</v>
      </c>
      <c r="H18" s="39">
        <v>5.1421999999999999</v>
      </c>
      <c r="I18" s="39" t="s">
        <v>1278</v>
      </c>
      <c r="J18" s="39" t="s">
        <v>1278</v>
      </c>
      <c r="K18" s="39">
        <v>10.8301</v>
      </c>
    </row>
    <row r="19" spans="1:11" ht="14.5" x14ac:dyDescent="0.35">
      <c r="A19" s="38" t="s">
        <v>286</v>
      </c>
      <c r="B19" s="38" t="s">
        <v>347</v>
      </c>
      <c r="C19" s="39">
        <v>5.1096000000000004</v>
      </c>
      <c r="D19" s="39">
        <v>3.3424</v>
      </c>
      <c r="E19" s="39">
        <v>3.4382999999999999</v>
      </c>
      <c r="F19" s="39">
        <v>3.6284999999999998</v>
      </c>
      <c r="G19" s="39">
        <v>2.0318000000000001</v>
      </c>
      <c r="H19" s="39">
        <v>2.1577000000000002</v>
      </c>
      <c r="I19" s="39" t="s">
        <v>1278</v>
      </c>
      <c r="J19" s="39" t="s">
        <v>1278</v>
      </c>
      <c r="K19" s="39">
        <v>4.1111000000000004</v>
      </c>
    </row>
    <row r="20" spans="1:11" ht="14.5" x14ac:dyDescent="0.35">
      <c r="A20" s="38" t="s">
        <v>286</v>
      </c>
      <c r="B20" s="38" t="s">
        <v>304</v>
      </c>
      <c r="C20" s="39">
        <v>17.273199999999999</v>
      </c>
      <c r="D20" s="39">
        <v>29.953600000000002</v>
      </c>
      <c r="E20" s="39">
        <v>27.871500000000001</v>
      </c>
      <c r="F20" s="39">
        <v>20.265599999999999</v>
      </c>
      <c r="G20" s="39">
        <v>16.616700000000002</v>
      </c>
      <c r="H20" s="39">
        <v>12.2498</v>
      </c>
      <c r="I20" s="39" t="s">
        <v>1278</v>
      </c>
      <c r="J20" s="39" t="s">
        <v>1278</v>
      </c>
      <c r="K20" s="39">
        <v>22.428100000000001</v>
      </c>
    </row>
    <row r="21" spans="1:11" ht="14.5" x14ac:dyDescent="0.35">
      <c r="A21" s="38" t="s">
        <v>288</v>
      </c>
      <c r="B21" s="38" t="s">
        <v>343</v>
      </c>
      <c r="C21" s="39">
        <v>14.2857</v>
      </c>
      <c r="D21" s="39">
        <v>57.829500000000003</v>
      </c>
      <c r="E21" s="39" t="s">
        <v>1278</v>
      </c>
      <c r="F21" s="39">
        <v>31.869499999999999</v>
      </c>
      <c r="G21" s="39">
        <v>56.3611</v>
      </c>
      <c r="H21" s="39" t="s">
        <v>1278</v>
      </c>
      <c r="I21" s="39" t="s">
        <v>1278</v>
      </c>
      <c r="J21" s="39">
        <v>34.473700000000001</v>
      </c>
      <c r="K21" s="39">
        <v>33.404600000000002</v>
      </c>
    </row>
    <row r="22" spans="1:11" ht="14.5" x14ac:dyDescent="0.35">
      <c r="A22" s="38" t="s">
        <v>288</v>
      </c>
      <c r="B22" s="38" t="s">
        <v>344</v>
      </c>
      <c r="C22" s="39">
        <v>12.8339</v>
      </c>
      <c r="D22" s="39">
        <v>51.140300000000003</v>
      </c>
      <c r="E22" s="39" t="s">
        <v>1278</v>
      </c>
      <c r="F22" s="39">
        <v>29.346800000000002</v>
      </c>
      <c r="G22" s="39">
        <v>27.881799999999998</v>
      </c>
      <c r="H22" s="39" t="s">
        <v>1278</v>
      </c>
      <c r="I22" s="39" t="s">
        <v>1278</v>
      </c>
      <c r="J22" s="39">
        <v>26.3993</v>
      </c>
      <c r="K22" s="39">
        <v>25.1355</v>
      </c>
    </row>
    <row r="23" spans="1:11" ht="14.5" x14ac:dyDescent="0.35">
      <c r="A23" s="38" t="s">
        <v>288</v>
      </c>
      <c r="B23" s="38" t="s">
        <v>345</v>
      </c>
      <c r="C23" s="39">
        <v>11.495799999999999</v>
      </c>
      <c r="D23" s="39">
        <v>31.377400000000002</v>
      </c>
      <c r="E23" s="39" t="s">
        <v>1278</v>
      </c>
      <c r="F23" s="39">
        <v>21.674499999999998</v>
      </c>
      <c r="G23" s="39">
        <v>21.7926</v>
      </c>
      <c r="H23" s="39" t="s">
        <v>1278</v>
      </c>
      <c r="I23" s="39" t="s">
        <v>1278</v>
      </c>
      <c r="J23" s="39">
        <v>21.6175</v>
      </c>
      <c r="K23" s="39">
        <v>18.23</v>
      </c>
    </row>
    <row r="24" spans="1:11" ht="14.5" x14ac:dyDescent="0.35">
      <c r="A24" s="38" t="s">
        <v>288</v>
      </c>
      <c r="B24" s="38" t="s">
        <v>346</v>
      </c>
      <c r="C24" s="39">
        <v>4.0603999999999996</v>
      </c>
      <c r="D24" s="39">
        <v>9.7274999999999991</v>
      </c>
      <c r="E24" s="39" t="s">
        <v>1278</v>
      </c>
      <c r="F24" s="39">
        <v>6.2663000000000002</v>
      </c>
      <c r="G24" s="39">
        <v>7.2709000000000001</v>
      </c>
      <c r="H24" s="39" t="s">
        <v>1278</v>
      </c>
      <c r="I24" s="39" t="s">
        <v>1278</v>
      </c>
      <c r="J24" s="39">
        <v>7.0167999999999999</v>
      </c>
      <c r="K24" s="39">
        <v>5.8247999999999998</v>
      </c>
    </row>
    <row r="25" spans="1:11" ht="14.5" x14ac:dyDescent="0.35">
      <c r="A25" s="38" t="s">
        <v>288</v>
      </c>
      <c r="B25" s="38" t="s">
        <v>347</v>
      </c>
      <c r="C25" s="39">
        <v>1.3589</v>
      </c>
      <c r="D25" s="39">
        <v>2.1139000000000001</v>
      </c>
      <c r="E25" s="39" t="s">
        <v>1278</v>
      </c>
      <c r="F25" s="39">
        <v>1.7661</v>
      </c>
      <c r="G25" s="39">
        <v>2.1257000000000001</v>
      </c>
      <c r="H25" s="39" t="s">
        <v>1278</v>
      </c>
      <c r="I25" s="39" t="s">
        <v>1278</v>
      </c>
      <c r="J25" s="39">
        <v>1.4728000000000001</v>
      </c>
      <c r="K25" s="39">
        <v>1.5794999999999999</v>
      </c>
    </row>
    <row r="26" spans="1:11" ht="14.5" x14ac:dyDescent="0.35">
      <c r="A26" s="38" t="s">
        <v>288</v>
      </c>
      <c r="B26" s="38" t="s">
        <v>304</v>
      </c>
      <c r="C26" s="39">
        <v>6.7519999999999998</v>
      </c>
      <c r="D26" s="39">
        <v>21.192799999999998</v>
      </c>
      <c r="E26" s="39" t="s">
        <v>1278</v>
      </c>
      <c r="F26" s="39">
        <v>12.5122</v>
      </c>
      <c r="G26" s="39">
        <v>15.402100000000001</v>
      </c>
      <c r="H26" s="39" t="s">
        <v>1278</v>
      </c>
      <c r="I26" s="39" t="s">
        <v>1278</v>
      </c>
      <c r="J26" s="39">
        <v>13.4384</v>
      </c>
      <c r="K26" s="39">
        <v>11.327500000000001</v>
      </c>
    </row>
    <row r="27" spans="1:11" ht="14.5" x14ac:dyDescent="0.35">
      <c r="A27" s="46" t="s">
        <v>289</v>
      </c>
      <c r="B27" s="46" t="s">
        <v>343</v>
      </c>
      <c r="C27" s="47">
        <v>66.786199999999994</v>
      </c>
      <c r="D27" s="47">
        <v>73.086299999999994</v>
      </c>
      <c r="E27" s="47">
        <v>76.238500000000002</v>
      </c>
      <c r="F27" s="47">
        <v>68.888900000000007</v>
      </c>
      <c r="G27" s="47">
        <v>73.171599999999998</v>
      </c>
      <c r="H27" s="47">
        <v>73.747399999999999</v>
      </c>
      <c r="I27" s="47">
        <v>78.9679</v>
      </c>
      <c r="J27" s="47">
        <v>77.528099999999995</v>
      </c>
      <c r="K27" s="47">
        <v>71.512200000000007</v>
      </c>
    </row>
    <row r="28" spans="1:11" ht="14.5" x14ac:dyDescent="0.35">
      <c r="A28" s="46" t="s">
        <v>289</v>
      </c>
      <c r="B28" s="46" t="s">
        <v>344</v>
      </c>
      <c r="C28" s="47">
        <v>45.281199999999998</v>
      </c>
      <c r="D28" s="47">
        <v>60.511899999999997</v>
      </c>
      <c r="E28" s="47">
        <v>51.174399999999999</v>
      </c>
      <c r="F28" s="47">
        <v>46.9039</v>
      </c>
      <c r="G28" s="47">
        <v>51.740200000000002</v>
      </c>
      <c r="H28" s="47">
        <v>53.533999999999999</v>
      </c>
      <c r="I28" s="47">
        <v>70.134399999999999</v>
      </c>
      <c r="J28" s="47">
        <v>55.445500000000003</v>
      </c>
      <c r="K28" s="47">
        <v>51.371699999999997</v>
      </c>
    </row>
    <row r="29" spans="1:11" ht="14.5" x14ac:dyDescent="0.35">
      <c r="A29" s="46" t="s">
        <v>289</v>
      </c>
      <c r="B29" s="46" t="s">
        <v>345</v>
      </c>
      <c r="C29" s="47">
        <v>31.959</v>
      </c>
      <c r="D29" s="47">
        <v>43.2517</v>
      </c>
      <c r="E29" s="47">
        <v>37.599499999999999</v>
      </c>
      <c r="F29" s="47">
        <v>28.6386</v>
      </c>
      <c r="G29" s="47">
        <v>32.885100000000001</v>
      </c>
      <c r="H29" s="47">
        <v>34.119399999999999</v>
      </c>
      <c r="I29" s="47">
        <v>50.390099999999997</v>
      </c>
      <c r="J29" s="47">
        <v>44.118000000000002</v>
      </c>
      <c r="K29" s="47">
        <v>36.088900000000002</v>
      </c>
    </row>
    <row r="30" spans="1:11" ht="14.5" x14ac:dyDescent="0.35">
      <c r="A30" s="46" t="s">
        <v>289</v>
      </c>
      <c r="B30" s="46" t="s">
        <v>346</v>
      </c>
      <c r="C30" s="47">
        <v>11.873200000000001</v>
      </c>
      <c r="D30" s="47">
        <v>21.3565</v>
      </c>
      <c r="E30" s="47">
        <v>15.718400000000001</v>
      </c>
      <c r="F30" s="47">
        <v>10.791399999999999</v>
      </c>
      <c r="G30" s="47">
        <v>14.341100000000001</v>
      </c>
      <c r="H30" s="47">
        <v>12.8592</v>
      </c>
      <c r="I30" s="47">
        <v>27.4834</v>
      </c>
      <c r="J30" s="47">
        <v>17.1905</v>
      </c>
      <c r="K30" s="47">
        <v>14.9635</v>
      </c>
    </row>
    <row r="31" spans="1:11" ht="14.5" x14ac:dyDescent="0.35">
      <c r="A31" s="46" t="s">
        <v>289</v>
      </c>
      <c r="B31" s="46" t="s">
        <v>347</v>
      </c>
      <c r="C31" s="47">
        <v>4.6116000000000001</v>
      </c>
      <c r="D31" s="47">
        <v>5.9622999999999999</v>
      </c>
      <c r="E31" s="47">
        <v>6.4222999999999999</v>
      </c>
      <c r="F31" s="47">
        <v>3.3258000000000001</v>
      </c>
      <c r="G31" s="47">
        <v>4.2697000000000003</v>
      </c>
      <c r="H31" s="47">
        <v>5.0237999999999996</v>
      </c>
      <c r="I31" s="47">
        <v>10.2182</v>
      </c>
      <c r="J31" s="47">
        <v>6.7591999999999999</v>
      </c>
      <c r="K31" s="47">
        <v>5.1228999999999996</v>
      </c>
    </row>
    <row r="32" spans="1:11" ht="14.5" x14ac:dyDescent="0.35">
      <c r="A32" s="41" t="s">
        <v>289</v>
      </c>
      <c r="B32" s="41" t="s">
        <v>304</v>
      </c>
      <c r="C32" s="42">
        <v>25.0274</v>
      </c>
      <c r="D32" s="42">
        <v>37.588999999999999</v>
      </c>
      <c r="E32" s="42">
        <v>33.970999999999997</v>
      </c>
      <c r="F32" s="42">
        <v>24.1294</v>
      </c>
      <c r="G32" s="42">
        <v>29.014299999999999</v>
      </c>
      <c r="H32" s="42">
        <v>30.151399999999999</v>
      </c>
      <c r="I32" s="42">
        <v>42.950499999999998</v>
      </c>
      <c r="J32" s="42">
        <v>32.519500000000001</v>
      </c>
      <c r="K32" s="42">
        <v>30.286200000000001</v>
      </c>
    </row>
    <row r="33" spans="1:11" ht="14.5" x14ac:dyDescent="0.35">
      <c r="A33" s="100" t="s">
        <v>523</v>
      </c>
      <c r="B33" s="99"/>
      <c r="C33" s="99"/>
      <c r="D33" s="99"/>
      <c r="E33" s="99"/>
      <c r="F33" s="99"/>
      <c r="G33" s="99"/>
      <c r="H33" s="99"/>
      <c r="I33" s="99"/>
      <c r="J33" s="99"/>
      <c r="K33" s="99"/>
    </row>
    <row r="34" spans="1:11" ht="14.5" x14ac:dyDescent="0.35">
      <c r="A34" s="100" t="s">
        <v>524</v>
      </c>
      <c r="B34" s="99"/>
      <c r="C34" s="99"/>
      <c r="D34" s="99"/>
      <c r="E34" s="99"/>
      <c r="F34" s="99"/>
      <c r="G34" s="99"/>
      <c r="H34" s="99"/>
      <c r="I34" s="99"/>
      <c r="J34" s="99"/>
      <c r="K34" s="99"/>
    </row>
    <row r="35" spans="1:11" ht="14.5" x14ac:dyDescent="0.35">
      <c r="A35" s="44"/>
      <c r="B35" s="35"/>
      <c r="C35" s="35"/>
      <c r="D35" s="35"/>
      <c r="E35" s="35"/>
      <c r="F35" s="35"/>
      <c r="G35" s="35"/>
      <c r="H35" s="35"/>
      <c r="I35" s="35"/>
      <c r="J35" s="35"/>
      <c r="K35" s="35"/>
    </row>
    <row r="36" spans="1:11" ht="14.5" x14ac:dyDescent="0.35">
      <c r="A36" s="35" t="s">
        <v>290</v>
      </c>
      <c r="B36" s="35"/>
      <c r="C36" s="35"/>
      <c r="D36" s="35"/>
      <c r="E36" s="35"/>
      <c r="F36" s="35"/>
      <c r="G36" s="35"/>
      <c r="H36" s="35"/>
      <c r="I36" s="35"/>
      <c r="J36" s="35"/>
      <c r="K36" s="35"/>
    </row>
    <row r="37" spans="1:11" ht="14.5" x14ac:dyDescent="0.35">
      <c r="A37" s="45" t="s">
        <v>291</v>
      </c>
      <c r="B37" s="35"/>
      <c r="C37" s="35"/>
      <c r="D37" s="35"/>
      <c r="E37" s="35"/>
      <c r="F37" s="35"/>
      <c r="G37" s="35"/>
      <c r="H37" s="35"/>
      <c r="I37" s="35"/>
      <c r="J37" s="35"/>
      <c r="K37" s="35"/>
    </row>
    <row r="38" spans="1:11" ht="14.5" x14ac:dyDescent="0.35">
      <c r="A38" s="35"/>
      <c r="B38" s="35"/>
      <c r="C38" s="35"/>
      <c r="D38" s="35"/>
      <c r="E38" s="35"/>
      <c r="F38" s="35"/>
      <c r="G38" s="35"/>
      <c r="H38" s="35"/>
      <c r="I38" s="35"/>
      <c r="J38" s="35"/>
      <c r="K38" s="35"/>
    </row>
    <row r="39" spans="1:11" ht="14.5" x14ac:dyDescent="0.35">
      <c r="A39" s="45" t="s">
        <v>3</v>
      </c>
      <c r="B39" s="35"/>
      <c r="C39" s="35"/>
      <c r="D39" s="35"/>
      <c r="E39" s="35"/>
      <c r="F39" s="35"/>
      <c r="G39" s="35"/>
      <c r="H39" s="35"/>
      <c r="I39" s="35"/>
      <c r="J39" s="35"/>
      <c r="K39" s="35"/>
    </row>
    <row r="40" spans="1:11" ht="14.5" x14ac:dyDescent="0.35">
      <c r="A40" s="35"/>
      <c r="B40" s="35"/>
      <c r="C40" s="35"/>
      <c r="D40" s="35"/>
      <c r="E40" s="35"/>
      <c r="F40" s="35"/>
      <c r="G40" s="35"/>
      <c r="H40" s="35"/>
      <c r="I40" s="35"/>
      <c r="J40" s="35"/>
      <c r="K40" s="35"/>
    </row>
    <row r="41" spans="1:11" ht="14.5" x14ac:dyDescent="0.35">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1A00-000000000000}"/>
    <hyperlink ref="A39" location="'Technical specifications'!A1" display="Technical specifications" xr:uid="{00000000-0004-0000-1A00-000001000000}"/>
    <hyperlink ref="A41" location="Contents!A1" display="Back to contents" xr:uid="{00000000-0004-0000-1A00-000002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47"/>
  <sheetViews>
    <sheetView workbookViewId="0">
      <selection sqref="A1:K1"/>
    </sheetView>
  </sheetViews>
  <sheetFormatPr defaultRowHeight="14.75" customHeight="1" x14ac:dyDescent="0.35"/>
  <cols>
    <col min="1" max="1" width="54" customWidth="1"/>
    <col min="2" max="2" width="15" customWidth="1"/>
    <col min="3" max="11" width="8.453125" customWidth="1"/>
  </cols>
  <sheetData>
    <row r="1" spans="1:11" ht="33.75" customHeight="1" x14ac:dyDescent="0.35">
      <c r="A1" s="96" t="s">
        <v>525</v>
      </c>
      <c r="B1" s="97"/>
      <c r="C1" s="97"/>
      <c r="D1" s="97"/>
      <c r="E1" s="97"/>
      <c r="F1" s="97"/>
      <c r="G1" s="97"/>
      <c r="H1" s="97"/>
      <c r="I1" s="97"/>
      <c r="J1" s="97"/>
      <c r="K1" s="97"/>
    </row>
    <row r="2" spans="1:11" ht="14.5" x14ac:dyDescent="0.35">
      <c r="A2" s="36" t="s">
        <v>276</v>
      </c>
      <c r="B2" s="36" t="s">
        <v>337</v>
      </c>
      <c r="C2" s="37" t="s">
        <v>295</v>
      </c>
      <c r="D2" s="37" t="s">
        <v>297</v>
      </c>
      <c r="E2" s="37" t="s">
        <v>298</v>
      </c>
      <c r="F2" s="37" t="s">
        <v>299</v>
      </c>
      <c r="G2" s="37" t="s">
        <v>300</v>
      </c>
      <c r="H2" s="37" t="s">
        <v>301</v>
      </c>
      <c r="I2" s="37" t="s">
        <v>302</v>
      </c>
      <c r="J2" s="37" t="s">
        <v>303</v>
      </c>
      <c r="K2" s="37" t="s">
        <v>304</v>
      </c>
    </row>
    <row r="3" spans="1:11" ht="14.5" x14ac:dyDescent="0.35">
      <c r="A3" s="38" t="s">
        <v>284</v>
      </c>
      <c r="B3" s="38" t="s">
        <v>343</v>
      </c>
      <c r="C3" s="39">
        <v>99.954800000000006</v>
      </c>
      <c r="D3" s="39">
        <v>100</v>
      </c>
      <c r="E3" s="39">
        <v>99.959500000000006</v>
      </c>
      <c r="F3" s="39">
        <v>100</v>
      </c>
      <c r="G3" s="39">
        <v>98.502499999999998</v>
      </c>
      <c r="H3" s="39">
        <v>99.537000000000006</v>
      </c>
      <c r="I3" s="39">
        <v>99.114999999999995</v>
      </c>
      <c r="J3" s="39">
        <v>100</v>
      </c>
      <c r="K3" s="39">
        <v>99.796999999999997</v>
      </c>
    </row>
    <row r="4" spans="1:11" ht="14.5" x14ac:dyDescent="0.35">
      <c r="A4" s="38" t="s">
        <v>284</v>
      </c>
      <c r="B4" s="38" t="s">
        <v>344</v>
      </c>
      <c r="C4" s="39">
        <v>74.959800000000001</v>
      </c>
      <c r="D4" s="39">
        <v>64.277000000000001</v>
      </c>
      <c r="E4" s="39">
        <v>74.907899999999998</v>
      </c>
      <c r="F4" s="39">
        <v>63.238199999999999</v>
      </c>
      <c r="G4" s="39">
        <v>49.645099999999999</v>
      </c>
      <c r="H4" s="39">
        <v>39.086199999999998</v>
      </c>
      <c r="I4" s="39">
        <v>62.730600000000003</v>
      </c>
      <c r="J4" s="39">
        <v>36.512</v>
      </c>
      <c r="K4" s="39">
        <v>66.997500000000002</v>
      </c>
    </row>
    <row r="5" spans="1:11" ht="14.5" x14ac:dyDescent="0.35">
      <c r="A5" s="38" t="s">
        <v>284</v>
      </c>
      <c r="B5" s="38" t="s">
        <v>345</v>
      </c>
      <c r="C5" s="39">
        <v>67.903999999999996</v>
      </c>
      <c r="D5" s="39">
        <v>72.376099999999994</v>
      </c>
      <c r="E5" s="39">
        <v>67.579899999999995</v>
      </c>
      <c r="F5" s="39">
        <v>21.764600000000002</v>
      </c>
      <c r="G5" s="39">
        <v>35.8249</v>
      </c>
      <c r="H5" s="39">
        <v>27.6252</v>
      </c>
      <c r="I5" s="39">
        <v>47.911200000000001</v>
      </c>
      <c r="J5" s="39">
        <v>18.098600000000001</v>
      </c>
      <c r="K5" s="39">
        <v>59.058300000000003</v>
      </c>
    </row>
    <row r="6" spans="1:11" ht="14.5" x14ac:dyDescent="0.35">
      <c r="A6" s="38" t="s">
        <v>284</v>
      </c>
      <c r="B6" s="38" t="s">
        <v>346</v>
      </c>
      <c r="C6" s="39">
        <v>73.171400000000006</v>
      </c>
      <c r="D6" s="39">
        <v>73.437299999999993</v>
      </c>
      <c r="E6" s="39">
        <v>76.811300000000003</v>
      </c>
      <c r="F6" s="39">
        <v>37.147799999999997</v>
      </c>
      <c r="G6" s="39">
        <v>54.111400000000003</v>
      </c>
      <c r="H6" s="39">
        <v>37.223799999999997</v>
      </c>
      <c r="I6" s="39">
        <v>64.358500000000006</v>
      </c>
      <c r="J6" s="39">
        <v>33.137599999999999</v>
      </c>
      <c r="K6" s="39">
        <v>66.371399999999994</v>
      </c>
    </row>
    <row r="7" spans="1:11" ht="14.5" x14ac:dyDescent="0.35">
      <c r="A7" s="38" t="s">
        <v>284</v>
      </c>
      <c r="B7" s="38" t="s">
        <v>347</v>
      </c>
      <c r="C7" s="39">
        <v>86.942099999999996</v>
      </c>
      <c r="D7" s="39">
        <v>88.519599999999997</v>
      </c>
      <c r="E7" s="39">
        <v>91.665099999999995</v>
      </c>
      <c r="F7" s="39">
        <v>64.209100000000007</v>
      </c>
      <c r="G7" s="39">
        <v>77.872799999999998</v>
      </c>
      <c r="H7" s="39">
        <v>64.583299999999994</v>
      </c>
      <c r="I7" s="39">
        <v>87.065600000000003</v>
      </c>
      <c r="J7" s="39">
        <v>64.667000000000002</v>
      </c>
      <c r="K7" s="39">
        <v>85.626300000000001</v>
      </c>
    </row>
    <row r="8" spans="1:11" ht="14.5" x14ac:dyDescent="0.35">
      <c r="A8" s="38" t="s">
        <v>284</v>
      </c>
      <c r="B8" s="38" t="s">
        <v>304</v>
      </c>
      <c r="C8" s="39">
        <v>72.154300000000006</v>
      </c>
      <c r="D8" s="39">
        <v>72.1875</v>
      </c>
      <c r="E8" s="39">
        <v>73.193799999999996</v>
      </c>
      <c r="F8" s="39">
        <v>37.762799999999999</v>
      </c>
      <c r="G8" s="39">
        <v>46.7943</v>
      </c>
      <c r="H8" s="39">
        <v>34.975299999999997</v>
      </c>
      <c r="I8" s="39">
        <v>58.4298</v>
      </c>
      <c r="J8" s="39">
        <v>31.064299999999999</v>
      </c>
      <c r="K8" s="39">
        <v>64.500200000000007</v>
      </c>
    </row>
    <row r="9" spans="1:11" ht="14.5" x14ac:dyDescent="0.35">
      <c r="A9" s="38" t="s">
        <v>285</v>
      </c>
      <c r="B9" s="38" t="s">
        <v>343</v>
      </c>
      <c r="C9" s="39">
        <v>99.967500000000001</v>
      </c>
      <c r="D9" s="39">
        <v>100</v>
      </c>
      <c r="E9" s="39">
        <v>99.972499999999997</v>
      </c>
      <c r="F9" s="39">
        <v>99.924199999999999</v>
      </c>
      <c r="G9" s="39">
        <v>99.958799999999997</v>
      </c>
      <c r="H9" s="39">
        <v>99.579800000000006</v>
      </c>
      <c r="I9" s="39">
        <v>98.723399999999998</v>
      </c>
      <c r="J9" s="39">
        <v>100</v>
      </c>
      <c r="K9" s="39">
        <v>99.954999999999998</v>
      </c>
    </row>
    <row r="10" spans="1:11" ht="14.5" x14ac:dyDescent="0.35">
      <c r="A10" s="38" t="s">
        <v>285</v>
      </c>
      <c r="B10" s="38" t="s">
        <v>344</v>
      </c>
      <c r="C10" s="39">
        <v>73.779600000000002</v>
      </c>
      <c r="D10" s="39">
        <v>63.793700000000001</v>
      </c>
      <c r="E10" s="39">
        <v>71.171000000000006</v>
      </c>
      <c r="F10" s="39">
        <v>64.101299999999995</v>
      </c>
      <c r="G10" s="39">
        <v>35.528799999999997</v>
      </c>
      <c r="H10" s="39">
        <v>50.4754</v>
      </c>
      <c r="I10" s="39">
        <v>68.277199999999993</v>
      </c>
      <c r="J10" s="39">
        <v>69.061400000000006</v>
      </c>
      <c r="K10" s="39">
        <v>67.365499999999997</v>
      </c>
    </row>
    <row r="11" spans="1:11" ht="14.5" x14ac:dyDescent="0.35">
      <c r="A11" s="38" t="s">
        <v>285</v>
      </c>
      <c r="B11" s="38" t="s">
        <v>345</v>
      </c>
      <c r="C11" s="39">
        <v>60.0246</v>
      </c>
      <c r="D11" s="39">
        <v>65.8947</v>
      </c>
      <c r="E11" s="39">
        <v>64.217600000000004</v>
      </c>
      <c r="F11" s="39">
        <v>11.135999999999999</v>
      </c>
      <c r="G11" s="39">
        <v>33.614899999999999</v>
      </c>
      <c r="H11" s="39">
        <v>36.630299999999998</v>
      </c>
      <c r="I11" s="39">
        <v>56.570099999999996</v>
      </c>
      <c r="J11" s="39">
        <v>63.214199999999998</v>
      </c>
      <c r="K11" s="39">
        <v>56.837400000000002</v>
      </c>
    </row>
    <row r="12" spans="1:11" ht="14.5" x14ac:dyDescent="0.35">
      <c r="A12" s="38" t="s">
        <v>285</v>
      </c>
      <c r="B12" s="38" t="s">
        <v>346</v>
      </c>
      <c r="C12" s="39">
        <v>67.063500000000005</v>
      </c>
      <c r="D12" s="39">
        <v>74.948999999999998</v>
      </c>
      <c r="E12" s="39">
        <v>77.017200000000003</v>
      </c>
      <c r="F12" s="39">
        <v>25.8887</v>
      </c>
      <c r="G12" s="39">
        <v>52.547199999999997</v>
      </c>
      <c r="H12" s="39">
        <v>50.0274</v>
      </c>
      <c r="I12" s="39">
        <v>74.738799999999998</v>
      </c>
      <c r="J12" s="39">
        <v>57.252699999999997</v>
      </c>
      <c r="K12" s="39">
        <v>66.02</v>
      </c>
    </row>
    <row r="13" spans="1:11" ht="14.5" x14ac:dyDescent="0.35">
      <c r="A13" s="38" t="s">
        <v>285</v>
      </c>
      <c r="B13" s="38" t="s">
        <v>347</v>
      </c>
      <c r="C13" s="39">
        <v>85.444699999999997</v>
      </c>
      <c r="D13" s="39">
        <v>90.239800000000002</v>
      </c>
      <c r="E13" s="39">
        <v>92.801400000000001</v>
      </c>
      <c r="F13" s="39">
        <v>61.874600000000001</v>
      </c>
      <c r="G13" s="39">
        <v>79.152199999999993</v>
      </c>
      <c r="H13" s="39">
        <v>80.767099999999999</v>
      </c>
      <c r="I13" s="39">
        <v>91.265000000000001</v>
      </c>
      <c r="J13" s="39">
        <v>92.149199999999993</v>
      </c>
      <c r="K13" s="39">
        <v>86.261700000000005</v>
      </c>
    </row>
    <row r="14" spans="1:11" ht="14.5" x14ac:dyDescent="0.35">
      <c r="A14" s="38" t="s">
        <v>285</v>
      </c>
      <c r="B14" s="38" t="s">
        <v>304</v>
      </c>
      <c r="C14" s="39">
        <v>66.707800000000006</v>
      </c>
      <c r="D14" s="39">
        <v>69.264200000000002</v>
      </c>
      <c r="E14" s="39">
        <v>69.910899999999998</v>
      </c>
      <c r="F14" s="39">
        <v>28.9208</v>
      </c>
      <c r="G14" s="39">
        <v>42.971600000000002</v>
      </c>
      <c r="H14" s="39">
        <v>45.3065</v>
      </c>
      <c r="I14" s="39">
        <v>66.974500000000006</v>
      </c>
      <c r="J14" s="39">
        <v>64.429199999999994</v>
      </c>
      <c r="K14" s="39">
        <v>63.270600000000002</v>
      </c>
    </row>
    <row r="15" spans="1:11" ht="14.5" x14ac:dyDescent="0.35">
      <c r="A15" s="38" t="s">
        <v>286</v>
      </c>
      <c r="B15" s="38" t="s">
        <v>343</v>
      </c>
      <c r="C15" s="39">
        <v>99.96</v>
      </c>
      <c r="D15" s="39">
        <v>100</v>
      </c>
      <c r="E15" s="39">
        <v>99.902100000000004</v>
      </c>
      <c r="F15" s="39">
        <v>99.190600000000003</v>
      </c>
      <c r="G15" s="39">
        <v>97.227400000000003</v>
      </c>
      <c r="H15" s="39" t="s">
        <v>166</v>
      </c>
      <c r="I15" s="39" t="s">
        <v>1278</v>
      </c>
      <c r="J15" s="39" t="s">
        <v>1278</v>
      </c>
      <c r="K15" s="39">
        <v>99.617000000000004</v>
      </c>
    </row>
    <row r="16" spans="1:11" ht="14.5" x14ac:dyDescent="0.35">
      <c r="A16" s="38" t="s">
        <v>286</v>
      </c>
      <c r="B16" s="38" t="s">
        <v>344</v>
      </c>
      <c r="C16" s="39">
        <v>76.264600000000002</v>
      </c>
      <c r="D16" s="39">
        <v>58.569299999999998</v>
      </c>
      <c r="E16" s="39">
        <v>74.318399999999997</v>
      </c>
      <c r="F16" s="39">
        <v>71.470799999999997</v>
      </c>
      <c r="G16" s="39">
        <v>72.498800000000003</v>
      </c>
      <c r="H16" s="39">
        <v>74.369</v>
      </c>
      <c r="I16" s="39" t="s">
        <v>1278</v>
      </c>
      <c r="J16" s="39" t="s">
        <v>1278</v>
      </c>
      <c r="K16" s="39">
        <v>71.233099999999993</v>
      </c>
    </row>
    <row r="17" spans="1:11" ht="14.5" x14ac:dyDescent="0.35">
      <c r="A17" s="38" t="s">
        <v>286</v>
      </c>
      <c r="B17" s="38" t="s">
        <v>345</v>
      </c>
      <c r="C17" s="39">
        <v>71.685699999999997</v>
      </c>
      <c r="D17" s="39">
        <v>70.784000000000006</v>
      </c>
      <c r="E17" s="39">
        <v>73.783299999999997</v>
      </c>
      <c r="F17" s="39">
        <v>47.810200000000002</v>
      </c>
      <c r="G17" s="39">
        <v>57.811999999999998</v>
      </c>
      <c r="H17" s="39">
        <v>75.073099999999997</v>
      </c>
      <c r="I17" s="39" t="s">
        <v>1278</v>
      </c>
      <c r="J17" s="39" t="s">
        <v>1278</v>
      </c>
      <c r="K17" s="39">
        <v>68.339399999999998</v>
      </c>
    </row>
    <row r="18" spans="1:11" ht="14.5" x14ac:dyDescent="0.35">
      <c r="A18" s="38" t="s">
        <v>286</v>
      </c>
      <c r="B18" s="38" t="s">
        <v>346</v>
      </c>
      <c r="C18" s="39">
        <v>73.946700000000007</v>
      </c>
      <c r="D18" s="39">
        <v>78.445899999999995</v>
      </c>
      <c r="E18" s="39">
        <v>80.679599999999994</v>
      </c>
      <c r="F18" s="39">
        <v>57.997500000000002</v>
      </c>
      <c r="G18" s="39">
        <v>66.744799999999998</v>
      </c>
      <c r="H18" s="39">
        <v>75.994100000000003</v>
      </c>
      <c r="I18" s="39" t="s">
        <v>1278</v>
      </c>
      <c r="J18" s="39" t="s">
        <v>1278</v>
      </c>
      <c r="K18" s="39">
        <v>73.386700000000005</v>
      </c>
    </row>
    <row r="19" spans="1:11" ht="14.5" x14ac:dyDescent="0.35">
      <c r="A19" s="38" t="s">
        <v>286</v>
      </c>
      <c r="B19" s="38" t="s">
        <v>347</v>
      </c>
      <c r="C19" s="39">
        <v>88.782300000000006</v>
      </c>
      <c r="D19" s="39">
        <v>93.211600000000004</v>
      </c>
      <c r="E19" s="39">
        <v>94.653700000000001</v>
      </c>
      <c r="F19" s="39">
        <v>83.679500000000004</v>
      </c>
      <c r="G19" s="39">
        <v>89.191500000000005</v>
      </c>
      <c r="H19" s="39">
        <v>91.234300000000005</v>
      </c>
      <c r="I19" s="39" t="s">
        <v>1278</v>
      </c>
      <c r="J19" s="39" t="s">
        <v>1278</v>
      </c>
      <c r="K19" s="39">
        <v>89.747</v>
      </c>
    </row>
    <row r="20" spans="1:11" ht="14.5" x14ac:dyDescent="0.35">
      <c r="A20" s="38" t="s">
        <v>286</v>
      </c>
      <c r="B20" s="38" t="s">
        <v>304</v>
      </c>
      <c r="C20" s="39">
        <v>74.583699999999993</v>
      </c>
      <c r="D20" s="39">
        <v>72.498199999999997</v>
      </c>
      <c r="E20" s="39">
        <v>76.787499999999994</v>
      </c>
      <c r="F20" s="39">
        <v>57.716099999999997</v>
      </c>
      <c r="G20" s="39">
        <v>65.704099999999997</v>
      </c>
      <c r="H20" s="39">
        <v>76.141800000000003</v>
      </c>
      <c r="I20" s="39" t="s">
        <v>1278</v>
      </c>
      <c r="J20" s="39" t="s">
        <v>1278</v>
      </c>
      <c r="K20" s="39">
        <v>71.9726</v>
      </c>
    </row>
    <row r="21" spans="1:11" ht="14.5" x14ac:dyDescent="0.35">
      <c r="A21" s="38" t="s">
        <v>287</v>
      </c>
      <c r="B21" s="38" t="s">
        <v>343</v>
      </c>
      <c r="C21" s="39">
        <v>99.762299999999996</v>
      </c>
      <c r="D21" s="39">
        <v>100</v>
      </c>
      <c r="E21" s="39" t="s">
        <v>1278</v>
      </c>
      <c r="F21" s="39">
        <v>99.496899999999997</v>
      </c>
      <c r="G21" s="39">
        <v>99.452799999999996</v>
      </c>
      <c r="H21" s="39" t="s">
        <v>1278</v>
      </c>
      <c r="I21" s="39" t="s">
        <v>1278</v>
      </c>
      <c r="J21" s="39">
        <v>91.842100000000002</v>
      </c>
      <c r="K21" s="39">
        <v>98.819199999999995</v>
      </c>
    </row>
    <row r="22" spans="1:11" ht="14.5" x14ac:dyDescent="0.35">
      <c r="A22" s="38" t="s">
        <v>287</v>
      </c>
      <c r="B22" s="38" t="s">
        <v>344</v>
      </c>
      <c r="C22" s="39">
        <v>82.536199999999994</v>
      </c>
      <c r="D22" s="39">
        <v>70.690600000000003</v>
      </c>
      <c r="E22" s="39" t="s">
        <v>1278</v>
      </c>
      <c r="F22" s="39">
        <v>79.109200000000001</v>
      </c>
      <c r="G22" s="39">
        <v>59.100700000000003</v>
      </c>
      <c r="H22" s="39" t="s">
        <v>1278</v>
      </c>
      <c r="I22" s="39" t="s">
        <v>1278</v>
      </c>
      <c r="J22" s="39">
        <v>52.499000000000002</v>
      </c>
      <c r="K22" s="39">
        <v>73.206999999999994</v>
      </c>
    </row>
    <row r="23" spans="1:11" ht="14.5" x14ac:dyDescent="0.35">
      <c r="A23" s="38" t="s">
        <v>287</v>
      </c>
      <c r="B23" s="38" t="s">
        <v>345</v>
      </c>
      <c r="C23" s="39">
        <v>80.937100000000001</v>
      </c>
      <c r="D23" s="39">
        <v>71.8964</v>
      </c>
      <c r="E23" s="39" t="s">
        <v>1278</v>
      </c>
      <c r="F23" s="39">
        <v>70.431700000000006</v>
      </c>
      <c r="G23" s="39">
        <v>59.246499999999997</v>
      </c>
      <c r="H23" s="39" t="s">
        <v>1278</v>
      </c>
      <c r="I23" s="39" t="s">
        <v>1278</v>
      </c>
      <c r="J23" s="39">
        <v>45.479399999999998</v>
      </c>
      <c r="K23" s="39">
        <v>71.274600000000007</v>
      </c>
    </row>
    <row r="24" spans="1:11" ht="14.5" x14ac:dyDescent="0.35">
      <c r="A24" s="38" t="s">
        <v>287</v>
      </c>
      <c r="B24" s="38" t="s">
        <v>346</v>
      </c>
      <c r="C24" s="39">
        <v>82.651300000000006</v>
      </c>
      <c r="D24" s="39">
        <v>78.837199999999996</v>
      </c>
      <c r="E24" s="39" t="s">
        <v>1278</v>
      </c>
      <c r="F24" s="39">
        <v>73.761099999999999</v>
      </c>
      <c r="G24" s="39">
        <v>71.808999999999997</v>
      </c>
      <c r="H24" s="39" t="s">
        <v>1278</v>
      </c>
      <c r="I24" s="39" t="s">
        <v>1278</v>
      </c>
      <c r="J24" s="39">
        <v>54.390700000000002</v>
      </c>
      <c r="K24" s="39">
        <v>76.656099999999995</v>
      </c>
    </row>
    <row r="25" spans="1:11" ht="14.5" x14ac:dyDescent="0.35">
      <c r="A25" s="38" t="s">
        <v>287</v>
      </c>
      <c r="B25" s="38" t="s">
        <v>347</v>
      </c>
      <c r="C25" s="39">
        <v>93.778700000000001</v>
      </c>
      <c r="D25" s="39">
        <v>89.647199999999998</v>
      </c>
      <c r="E25" s="39" t="s">
        <v>1278</v>
      </c>
      <c r="F25" s="39">
        <v>90.785300000000007</v>
      </c>
      <c r="G25" s="39">
        <v>89.609800000000007</v>
      </c>
      <c r="H25" s="39" t="s">
        <v>1278</v>
      </c>
      <c r="I25" s="39" t="s">
        <v>1278</v>
      </c>
      <c r="J25" s="39">
        <v>83.980699999999999</v>
      </c>
      <c r="K25" s="39">
        <v>91.770300000000006</v>
      </c>
    </row>
    <row r="26" spans="1:11" ht="14.5" x14ac:dyDescent="0.35">
      <c r="A26" s="38" t="s">
        <v>287</v>
      </c>
      <c r="B26" s="38" t="s">
        <v>304</v>
      </c>
      <c r="C26" s="39">
        <v>83.631299999999996</v>
      </c>
      <c r="D26" s="39">
        <v>76.504999999999995</v>
      </c>
      <c r="E26" s="39" t="s">
        <v>1278</v>
      </c>
      <c r="F26" s="39">
        <v>75.447000000000003</v>
      </c>
      <c r="G26" s="39">
        <v>66.390900000000002</v>
      </c>
      <c r="H26" s="39" t="s">
        <v>1278</v>
      </c>
      <c r="I26" s="39" t="s">
        <v>1278</v>
      </c>
      <c r="J26" s="39">
        <v>54.255899999999997</v>
      </c>
      <c r="K26" s="39">
        <v>76.260800000000003</v>
      </c>
    </row>
    <row r="27" spans="1:11" ht="14.5" x14ac:dyDescent="0.35">
      <c r="A27" s="38" t="s">
        <v>288</v>
      </c>
      <c r="B27" s="38" t="s">
        <v>343</v>
      </c>
      <c r="C27" s="39">
        <v>100</v>
      </c>
      <c r="D27" s="39">
        <v>100</v>
      </c>
      <c r="E27" s="39" t="s">
        <v>1278</v>
      </c>
      <c r="F27" s="39" t="s">
        <v>1278</v>
      </c>
      <c r="G27" s="39" t="s">
        <v>1278</v>
      </c>
      <c r="H27" s="39" t="s">
        <v>1278</v>
      </c>
      <c r="I27" s="39" t="s">
        <v>1278</v>
      </c>
      <c r="J27" s="39" t="s">
        <v>1278</v>
      </c>
      <c r="K27" s="39">
        <v>100</v>
      </c>
    </row>
    <row r="28" spans="1:11" ht="14.5" x14ac:dyDescent="0.35">
      <c r="A28" s="38" t="s">
        <v>288</v>
      </c>
      <c r="B28" s="38" t="s">
        <v>344</v>
      </c>
      <c r="C28" s="39">
        <v>83.667199999999994</v>
      </c>
      <c r="D28" s="39">
        <v>85.948599999999999</v>
      </c>
      <c r="E28" s="39" t="s">
        <v>1278</v>
      </c>
      <c r="F28" s="39" t="s">
        <v>1278</v>
      </c>
      <c r="G28" s="39" t="s">
        <v>1278</v>
      </c>
      <c r="H28" s="39" t="s">
        <v>1278</v>
      </c>
      <c r="I28" s="39" t="s">
        <v>1278</v>
      </c>
      <c r="J28" s="39" t="s">
        <v>1278</v>
      </c>
      <c r="K28" s="39">
        <v>84.353200000000001</v>
      </c>
    </row>
    <row r="29" spans="1:11" ht="14.5" x14ac:dyDescent="0.35">
      <c r="A29" s="38" t="s">
        <v>288</v>
      </c>
      <c r="B29" s="38" t="s">
        <v>345</v>
      </c>
      <c r="C29" s="39">
        <v>88.152299999999997</v>
      </c>
      <c r="D29" s="39">
        <v>77.534599999999998</v>
      </c>
      <c r="E29" s="39" t="s">
        <v>1278</v>
      </c>
      <c r="F29" s="39" t="s">
        <v>1278</v>
      </c>
      <c r="G29" s="39" t="s">
        <v>1278</v>
      </c>
      <c r="H29" s="39" t="s">
        <v>1278</v>
      </c>
      <c r="I29" s="39" t="s">
        <v>1278</v>
      </c>
      <c r="J29" s="39" t="s">
        <v>1278</v>
      </c>
      <c r="K29" s="39">
        <v>85.537400000000005</v>
      </c>
    </row>
    <row r="30" spans="1:11" ht="14.5" x14ac:dyDescent="0.35">
      <c r="A30" s="38" t="s">
        <v>288</v>
      </c>
      <c r="B30" s="38" t="s">
        <v>346</v>
      </c>
      <c r="C30" s="39">
        <v>89.681200000000004</v>
      </c>
      <c r="D30" s="39">
        <v>83.5321</v>
      </c>
      <c r="E30" s="39" t="s">
        <v>1278</v>
      </c>
      <c r="F30" s="39" t="s">
        <v>1278</v>
      </c>
      <c r="G30" s="39" t="s">
        <v>1278</v>
      </c>
      <c r="H30" s="39" t="s">
        <v>1278</v>
      </c>
      <c r="I30" s="39" t="s">
        <v>1278</v>
      </c>
      <c r="J30" s="39" t="s">
        <v>1278</v>
      </c>
      <c r="K30" s="39">
        <v>88.109499999999997</v>
      </c>
    </row>
    <row r="31" spans="1:11" ht="14.5" x14ac:dyDescent="0.35">
      <c r="A31" s="38" t="s">
        <v>288</v>
      </c>
      <c r="B31" s="38" t="s">
        <v>347</v>
      </c>
      <c r="C31" s="39">
        <v>97.541300000000007</v>
      </c>
      <c r="D31" s="39">
        <v>96.511600000000001</v>
      </c>
      <c r="E31" s="39" t="s">
        <v>1278</v>
      </c>
      <c r="F31" s="39" t="s">
        <v>1278</v>
      </c>
      <c r="G31" s="39" t="s">
        <v>1278</v>
      </c>
      <c r="H31" s="39" t="s">
        <v>1278</v>
      </c>
      <c r="I31" s="39" t="s">
        <v>1278</v>
      </c>
      <c r="J31" s="39" t="s">
        <v>1278</v>
      </c>
      <c r="K31" s="39">
        <v>97.335700000000003</v>
      </c>
    </row>
    <row r="32" spans="1:11" ht="14.5" x14ac:dyDescent="0.35">
      <c r="A32" s="38" t="s">
        <v>288</v>
      </c>
      <c r="B32" s="38" t="s">
        <v>304</v>
      </c>
      <c r="C32" s="39">
        <v>90.151899999999998</v>
      </c>
      <c r="D32" s="39">
        <v>84.040099999999995</v>
      </c>
      <c r="E32" s="39" t="s">
        <v>1278</v>
      </c>
      <c r="F32" s="39" t="s">
        <v>1278</v>
      </c>
      <c r="G32" s="39" t="s">
        <v>1278</v>
      </c>
      <c r="H32" s="39" t="s">
        <v>1278</v>
      </c>
      <c r="I32" s="39" t="s">
        <v>1278</v>
      </c>
      <c r="J32" s="39" t="s">
        <v>1278</v>
      </c>
      <c r="K32" s="39">
        <v>88.635400000000004</v>
      </c>
    </row>
    <row r="33" spans="1:11" ht="14.5" x14ac:dyDescent="0.35">
      <c r="A33" s="46" t="s">
        <v>289</v>
      </c>
      <c r="B33" s="46" t="s">
        <v>343</v>
      </c>
      <c r="C33" s="47">
        <v>99.9512</v>
      </c>
      <c r="D33" s="47">
        <v>100</v>
      </c>
      <c r="E33" s="47">
        <v>99.958399999999997</v>
      </c>
      <c r="F33" s="47">
        <v>99.838700000000003</v>
      </c>
      <c r="G33" s="47">
        <v>98.931899999999999</v>
      </c>
      <c r="H33" s="47">
        <v>99.576300000000003</v>
      </c>
      <c r="I33" s="47">
        <v>99.025300000000001</v>
      </c>
      <c r="J33" s="47">
        <v>98.416799999999995</v>
      </c>
      <c r="K33" s="47">
        <v>99.799300000000002</v>
      </c>
    </row>
    <row r="34" spans="1:11" ht="14.5" x14ac:dyDescent="0.35">
      <c r="A34" s="46" t="s">
        <v>289</v>
      </c>
      <c r="B34" s="46" t="s">
        <v>344</v>
      </c>
      <c r="C34" s="47">
        <v>75.622699999999995</v>
      </c>
      <c r="D34" s="47">
        <v>63.968200000000003</v>
      </c>
      <c r="E34" s="47">
        <v>73.011099999999999</v>
      </c>
      <c r="F34" s="47">
        <v>66.565899999999999</v>
      </c>
      <c r="G34" s="47">
        <v>50.169699999999999</v>
      </c>
      <c r="H34" s="47">
        <v>46.893599999999999</v>
      </c>
      <c r="I34" s="47">
        <v>64.428299999999993</v>
      </c>
      <c r="J34" s="47">
        <v>49.1614</v>
      </c>
      <c r="K34" s="47">
        <v>68.409000000000006</v>
      </c>
    </row>
    <row r="35" spans="1:11" ht="14.5" x14ac:dyDescent="0.35">
      <c r="A35" s="46" t="s">
        <v>289</v>
      </c>
      <c r="B35" s="46" t="s">
        <v>345</v>
      </c>
      <c r="C35" s="47">
        <v>67.857100000000003</v>
      </c>
      <c r="D35" s="47">
        <v>69.176599999999993</v>
      </c>
      <c r="E35" s="47">
        <v>67.210400000000007</v>
      </c>
      <c r="F35" s="47">
        <v>29.4146</v>
      </c>
      <c r="G35" s="47">
        <v>43.66</v>
      </c>
      <c r="H35" s="47">
        <v>37.779200000000003</v>
      </c>
      <c r="I35" s="47">
        <v>51.226100000000002</v>
      </c>
      <c r="J35" s="47">
        <v>40.008299999999998</v>
      </c>
      <c r="K35" s="47">
        <v>61.072299999999998</v>
      </c>
    </row>
    <row r="36" spans="1:11" ht="14.5" x14ac:dyDescent="0.35">
      <c r="A36" s="46" t="s">
        <v>289</v>
      </c>
      <c r="B36" s="46" t="s">
        <v>346</v>
      </c>
      <c r="C36" s="47">
        <v>74.123099999999994</v>
      </c>
      <c r="D36" s="47">
        <v>75.745599999999996</v>
      </c>
      <c r="E36" s="47">
        <v>77.697400000000002</v>
      </c>
      <c r="F36" s="47">
        <v>46.9861</v>
      </c>
      <c r="G36" s="47">
        <v>61.407200000000003</v>
      </c>
      <c r="H36" s="47">
        <v>52.349600000000002</v>
      </c>
      <c r="I36" s="47">
        <v>68.580500000000001</v>
      </c>
      <c r="J36" s="47">
        <v>47.9467</v>
      </c>
      <c r="K36" s="47">
        <v>69.699799999999996</v>
      </c>
    </row>
    <row r="37" spans="1:11" ht="14.5" x14ac:dyDescent="0.35">
      <c r="A37" s="46" t="s">
        <v>289</v>
      </c>
      <c r="B37" s="46" t="s">
        <v>347</v>
      </c>
      <c r="C37" s="47">
        <v>90.139499999999998</v>
      </c>
      <c r="D37" s="47">
        <v>90.662300000000002</v>
      </c>
      <c r="E37" s="47">
        <v>92.639700000000005</v>
      </c>
      <c r="F37" s="47">
        <v>80.431799999999996</v>
      </c>
      <c r="G37" s="47">
        <v>84.335400000000007</v>
      </c>
      <c r="H37" s="47">
        <v>74.292299999999997</v>
      </c>
      <c r="I37" s="47">
        <v>88.733699999999999</v>
      </c>
      <c r="J37" s="47">
        <v>82.279700000000005</v>
      </c>
      <c r="K37" s="47">
        <v>88.860299999999995</v>
      </c>
    </row>
    <row r="38" spans="1:11" ht="14.5" x14ac:dyDescent="0.35">
      <c r="A38" s="41" t="s">
        <v>289</v>
      </c>
      <c r="B38" s="41" t="s">
        <v>304</v>
      </c>
      <c r="C38" s="42">
        <v>73.251800000000003</v>
      </c>
      <c r="D38" s="42">
        <v>71.532799999999995</v>
      </c>
      <c r="E38" s="42">
        <v>72.438800000000001</v>
      </c>
      <c r="F38" s="42">
        <v>45.578200000000002</v>
      </c>
      <c r="G38" s="42">
        <v>53.404899999999998</v>
      </c>
      <c r="H38" s="42">
        <v>46.0197</v>
      </c>
      <c r="I38" s="42">
        <v>61.672400000000003</v>
      </c>
      <c r="J38" s="42">
        <v>48.188000000000002</v>
      </c>
      <c r="K38" s="42">
        <v>67.090500000000006</v>
      </c>
    </row>
    <row r="39" spans="1:11" ht="14.5" x14ac:dyDescent="0.35">
      <c r="A39" s="100" t="s">
        <v>526</v>
      </c>
      <c r="B39" s="99"/>
      <c r="C39" s="99"/>
      <c r="D39" s="99"/>
      <c r="E39" s="99"/>
      <c r="F39" s="99"/>
      <c r="G39" s="99"/>
      <c r="H39" s="99"/>
      <c r="I39" s="99"/>
      <c r="J39" s="99"/>
      <c r="K39" s="99"/>
    </row>
    <row r="40" spans="1:11" ht="19.5" customHeight="1" x14ac:dyDescent="0.35">
      <c r="A40" s="100" t="s">
        <v>527</v>
      </c>
      <c r="B40" s="99"/>
      <c r="C40" s="99"/>
      <c r="D40" s="99"/>
      <c r="E40" s="99"/>
      <c r="F40" s="99"/>
      <c r="G40" s="99"/>
      <c r="H40" s="99"/>
      <c r="I40" s="99"/>
      <c r="J40" s="99"/>
      <c r="K40" s="99"/>
    </row>
    <row r="41" spans="1:11" ht="14.5" x14ac:dyDescent="0.35">
      <c r="A41" s="44"/>
      <c r="B41" s="35"/>
      <c r="C41" s="35"/>
      <c r="D41" s="35"/>
      <c r="E41" s="35"/>
      <c r="F41" s="35"/>
      <c r="G41" s="35"/>
      <c r="H41" s="35"/>
      <c r="I41" s="35"/>
      <c r="J41" s="35"/>
      <c r="K41" s="35"/>
    </row>
    <row r="42" spans="1:11" ht="14.5" x14ac:dyDescent="0.35">
      <c r="A42" s="35" t="s">
        <v>290</v>
      </c>
      <c r="B42" s="35"/>
      <c r="C42" s="35"/>
      <c r="D42" s="35"/>
      <c r="E42" s="35"/>
      <c r="F42" s="35"/>
      <c r="G42" s="35"/>
      <c r="H42" s="35"/>
      <c r="I42" s="35"/>
      <c r="J42" s="35"/>
      <c r="K42" s="35"/>
    </row>
    <row r="43" spans="1:11" ht="14.5" x14ac:dyDescent="0.35">
      <c r="A43" s="45" t="s">
        <v>291</v>
      </c>
      <c r="B43" s="35"/>
      <c r="C43" s="35"/>
      <c r="D43" s="35"/>
      <c r="E43" s="35"/>
      <c r="F43" s="35"/>
      <c r="G43" s="35"/>
      <c r="H43" s="35"/>
      <c r="I43" s="35"/>
      <c r="J43" s="35"/>
      <c r="K43" s="35"/>
    </row>
    <row r="44" spans="1:11" ht="14.5" x14ac:dyDescent="0.35">
      <c r="A44" s="35"/>
      <c r="B44" s="35"/>
      <c r="C44" s="35"/>
      <c r="D44" s="35"/>
      <c r="E44" s="35"/>
      <c r="F44" s="35"/>
      <c r="G44" s="35"/>
      <c r="H44" s="35"/>
      <c r="I44" s="35"/>
      <c r="J44" s="35"/>
      <c r="K44" s="35"/>
    </row>
    <row r="45" spans="1:11" ht="14.5" x14ac:dyDescent="0.35">
      <c r="A45" s="45" t="s">
        <v>3</v>
      </c>
      <c r="B45" s="35"/>
      <c r="C45" s="35"/>
      <c r="D45" s="35"/>
      <c r="E45" s="35"/>
      <c r="F45" s="35"/>
      <c r="G45" s="35"/>
      <c r="H45" s="35"/>
      <c r="I45" s="35"/>
      <c r="J45" s="35"/>
      <c r="K45" s="35"/>
    </row>
    <row r="46" spans="1:11" ht="14.5" x14ac:dyDescent="0.35">
      <c r="A46" s="35"/>
      <c r="B46" s="35"/>
      <c r="C46" s="35"/>
      <c r="D46" s="35"/>
      <c r="E46" s="35"/>
      <c r="F46" s="35"/>
      <c r="G46" s="35"/>
      <c r="H46" s="35"/>
      <c r="I46" s="35"/>
      <c r="J46" s="35"/>
      <c r="K46" s="35"/>
    </row>
    <row r="47" spans="1:11" ht="14.5" x14ac:dyDescent="0.35">
      <c r="A47" s="45" t="s">
        <v>292</v>
      </c>
      <c r="B47" s="35"/>
      <c r="C47" s="35"/>
      <c r="D47" s="35"/>
      <c r="E47" s="35"/>
      <c r="F47" s="35"/>
      <c r="G47" s="35"/>
      <c r="H47" s="35"/>
      <c r="I47" s="35"/>
      <c r="J47" s="35"/>
      <c r="K47" s="35"/>
    </row>
  </sheetData>
  <mergeCells count="3">
    <mergeCell ref="A39:K39"/>
    <mergeCell ref="A1:K1"/>
    <mergeCell ref="A40:K40"/>
  </mergeCells>
  <hyperlinks>
    <hyperlink ref="A43" r:id="rId1" xr:uid="{00000000-0004-0000-1B00-000000000000}"/>
    <hyperlink ref="A45" location="'Technical specifications'!A1" display="Technical specifications" xr:uid="{00000000-0004-0000-1B00-000001000000}"/>
    <hyperlink ref="A47" location="Contents!A1" display="Back to contents" xr:uid="{00000000-0004-0000-1B00-000002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G19"/>
  <sheetViews>
    <sheetView workbookViewId="0">
      <selection sqref="A1:G1"/>
    </sheetView>
  </sheetViews>
  <sheetFormatPr defaultRowHeight="14.75" customHeight="1" x14ac:dyDescent="0.35"/>
  <cols>
    <col min="1" max="1" width="15" customWidth="1"/>
    <col min="2" max="7" width="16.54296875" customWidth="1"/>
  </cols>
  <sheetData>
    <row r="1" spans="1:7" ht="33.75" customHeight="1" x14ac:dyDescent="0.35">
      <c r="A1" s="96" t="s">
        <v>528</v>
      </c>
      <c r="B1" s="97"/>
      <c r="C1" s="97"/>
      <c r="D1" s="97"/>
      <c r="E1" s="97"/>
      <c r="F1" s="97"/>
      <c r="G1" s="97"/>
    </row>
    <row r="2" spans="1:7" ht="14.5" x14ac:dyDescent="0.35">
      <c r="A2" s="36" t="s">
        <v>337</v>
      </c>
      <c r="B2" s="37" t="s">
        <v>338</v>
      </c>
      <c r="C2" s="37" t="s">
        <v>339</v>
      </c>
      <c r="D2" s="37" t="s">
        <v>340</v>
      </c>
      <c r="E2" s="37" t="s">
        <v>341</v>
      </c>
      <c r="F2" s="37" t="s">
        <v>342</v>
      </c>
      <c r="G2" s="57" t="s">
        <v>1281</v>
      </c>
    </row>
    <row r="3" spans="1:7" ht="14.5" x14ac:dyDescent="0.35">
      <c r="A3" s="38" t="s">
        <v>343</v>
      </c>
      <c r="B3" s="39">
        <v>0</v>
      </c>
      <c r="C3" s="39">
        <v>0</v>
      </c>
      <c r="D3" s="39">
        <v>0</v>
      </c>
      <c r="E3" s="39">
        <v>0</v>
      </c>
      <c r="F3" s="39">
        <v>0</v>
      </c>
      <c r="G3" s="39">
        <v>0</v>
      </c>
    </row>
    <row r="4" spans="1:7" ht="14.5" x14ac:dyDescent="0.35">
      <c r="A4" s="38" t="s">
        <v>344</v>
      </c>
      <c r="B4" s="39">
        <v>7</v>
      </c>
      <c r="C4" s="39">
        <v>8</v>
      </c>
      <c r="D4" s="39">
        <v>7</v>
      </c>
      <c r="E4" s="39">
        <v>6</v>
      </c>
      <c r="F4" s="39">
        <v>7</v>
      </c>
      <c r="G4" s="39">
        <v>7</v>
      </c>
    </row>
    <row r="5" spans="1:7" ht="14.5" x14ac:dyDescent="0.35">
      <c r="A5" s="38" t="s">
        <v>345</v>
      </c>
      <c r="B5" s="39">
        <v>22</v>
      </c>
      <c r="C5" s="39">
        <v>23</v>
      </c>
      <c r="D5" s="39">
        <v>19</v>
      </c>
      <c r="E5" s="39">
        <v>18</v>
      </c>
      <c r="F5" s="39">
        <v>18</v>
      </c>
      <c r="G5" s="39">
        <v>22</v>
      </c>
    </row>
    <row r="6" spans="1:7" ht="14.5" x14ac:dyDescent="0.35">
      <c r="A6" s="38" t="s">
        <v>346</v>
      </c>
      <c r="B6" s="39">
        <v>30</v>
      </c>
      <c r="C6" s="39">
        <v>28</v>
      </c>
      <c r="D6" s="39">
        <v>27</v>
      </c>
      <c r="E6" s="39">
        <v>28</v>
      </c>
      <c r="F6" s="39">
        <v>26</v>
      </c>
      <c r="G6" s="39">
        <v>29</v>
      </c>
    </row>
    <row r="7" spans="1:7" ht="14.5" x14ac:dyDescent="0.35">
      <c r="A7" s="38" t="s">
        <v>347</v>
      </c>
      <c r="B7" s="39">
        <v>27</v>
      </c>
      <c r="C7" s="39">
        <v>21</v>
      </c>
      <c r="D7" s="39">
        <v>17</v>
      </c>
      <c r="E7" s="39">
        <v>18</v>
      </c>
      <c r="F7" s="39">
        <v>20</v>
      </c>
      <c r="G7" s="39">
        <v>23</v>
      </c>
    </row>
    <row r="8" spans="1:7" ht="14.5" x14ac:dyDescent="0.35">
      <c r="A8" s="41" t="s">
        <v>304</v>
      </c>
      <c r="B8" s="42">
        <v>18</v>
      </c>
      <c r="C8" s="42">
        <v>19</v>
      </c>
      <c r="D8" s="42">
        <v>17</v>
      </c>
      <c r="E8" s="42">
        <v>18</v>
      </c>
      <c r="F8" s="42">
        <v>18</v>
      </c>
      <c r="G8" s="42">
        <v>18</v>
      </c>
    </row>
    <row r="9" spans="1:7" ht="14.5" x14ac:dyDescent="0.35">
      <c r="A9" s="100" t="s">
        <v>529</v>
      </c>
      <c r="B9" s="99"/>
      <c r="C9" s="99"/>
      <c r="D9" s="99"/>
      <c r="E9" s="99"/>
      <c r="F9" s="99"/>
      <c r="G9" s="99"/>
    </row>
    <row r="10" spans="1:7" ht="19" customHeight="1" x14ac:dyDescent="0.35">
      <c r="A10" s="100" t="s">
        <v>530</v>
      </c>
      <c r="B10" s="99"/>
      <c r="C10" s="99"/>
      <c r="D10" s="99"/>
      <c r="E10" s="99"/>
      <c r="F10" s="99"/>
      <c r="G10" s="99"/>
    </row>
    <row r="11" spans="1:7" ht="14.5" x14ac:dyDescent="0.35">
      <c r="A11" s="100" t="s">
        <v>531</v>
      </c>
      <c r="B11" s="99"/>
      <c r="C11" s="99"/>
      <c r="D11" s="99"/>
      <c r="E11" s="99"/>
      <c r="F11" s="99"/>
      <c r="G11" s="99"/>
    </row>
    <row r="12" spans="1:7" ht="14.5" x14ac:dyDescent="0.35">
      <c r="A12" s="100" t="s">
        <v>532</v>
      </c>
      <c r="B12" s="99"/>
      <c r="C12" s="99"/>
      <c r="D12" s="99"/>
      <c r="E12" s="99"/>
      <c r="F12" s="99"/>
      <c r="G12" s="99"/>
    </row>
    <row r="13" spans="1:7" ht="14.5" x14ac:dyDescent="0.35">
      <c r="A13" s="44"/>
      <c r="B13" s="35"/>
      <c r="C13" s="35"/>
      <c r="D13" s="35"/>
      <c r="E13" s="35"/>
      <c r="F13" s="35"/>
      <c r="G13" s="35"/>
    </row>
    <row r="14" spans="1:7" ht="14.5" x14ac:dyDescent="0.35">
      <c r="A14" s="35" t="s">
        <v>290</v>
      </c>
      <c r="B14" s="35"/>
      <c r="C14" s="35"/>
      <c r="D14" s="35"/>
      <c r="E14" s="35"/>
      <c r="F14" s="35"/>
      <c r="G14" s="35"/>
    </row>
    <row r="15" spans="1:7" ht="14.5" x14ac:dyDescent="0.35">
      <c r="A15" s="45" t="s">
        <v>291</v>
      </c>
      <c r="B15" s="35"/>
      <c r="C15" s="35"/>
      <c r="D15" s="35"/>
      <c r="E15" s="35"/>
      <c r="F15" s="35"/>
      <c r="G15" s="35"/>
    </row>
    <row r="16" spans="1:7" ht="14.5" x14ac:dyDescent="0.35">
      <c r="A16" s="35"/>
      <c r="B16" s="35"/>
      <c r="C16" s="35"/>
      <c r="D16" s="35"/>
      <c r="E16" s="35"/>
      <c r="F16" s="35"/>
      <c r="G16" s="35"/>
    </row>
    <row r="17" spans="1:7" ht="14.5" x14ac:dyDescent="0.35">
      <c r="A17" s="45" t="s">
        <v>3</v>
      </c>
      <c r="B17" s="35"/>
      <c r="C17" s="35"/>
      <c r="D17" s="35"/>
      <c r="E17" s="35"/>
      <c r="F17" s="35"/>
      <c r="G17" s="35"/>
    </row>
    <row r="18" spans="1:7" ht="14.5" x14ac:dyDescent="0.35">
      <c r="A18" s="35"/>
      <c r="B18" s="35"/>
      <c r="C18" s="35"/>
      <c r="D18" s="35"/>
      <c r="E18" s="35"/>
      <c r="F18" s="35"/>
      <c r="G18" s="35"/>
    </row>
    <row r="19" spans="1:7" ht="14.5" x14ac:dyDescent="0.35">
      <c r="A19" s="45" t="s">
        <v>292</v>
      </c>
      <c r="B19" s="35"/>
      <c r="C19" s="35"/>
      <c r="D19" s="35"/>
      <c r="E19" s="35"/>
      <c r="F19" s="35"/>
      <c r="G19" s="35"/>
    </row>
  </sheetData>
  <mergeCells count="5">
    <mergeCell ref="A1:G1"/>
    <mergeCell ref="A9:G9"/>
    <mergeCell ref="A12:G12"/>
    <mergeCell ref="A11:G11"/>
    <mergeCell ref="A10:G10"/>
  </mergeCells>
  <hyperlinks>
    <hyperlink ref="A15" r:id="rId1" xr:uid="{00000000-0004-0000-1C00-000000000000}"/>
    <hyperlink ref="A17" location="'Technical specifications'!A1" display="Technical specifications" xr:uid="{00000000-0004-0000-1C00-000001000000}"/>
    <hyperlink ref="A19" location="Contents!A1" display="Back to contents" xr:uid="{00000000-0004-0000-1C00-000002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30"/>
  <sheetViews>
    <sheetView workbookViewId="0">
      <selection sqref="A1:K1"/>
    </sheetView>
  </sheetViews>
  <sheetFormatPr defaultRowHeight="14.75" customHeight="1" x14ac:dyDescent="0.35"/>
  <cols>
    <col min="1" max="1" width="30" customWidth="1"/>
    <col min="2" max="2" width="15" customWidth="1"/>
    <col min="3" max="11" width="8.453125" customWidth="1"/>
  </cols>
  <sheetData>
    <row r="1" spans="1:11" ht="33.75" customHeight="1" x14ac:dyDescent="0.35">
      <c r="A1" s="96" t="s">
        <v>533</v>
      </c>
      <c r="B1" s="97"/>
      <c r="C1" s="97"/>
      <c r="D1" s="97"/>
      <c r="E1" s="97"/>
      <c r="F1" s="97"/>
      <c r="G1" s="97"/>
      <c r="H1" s="97"/>
      <c r="I1" s="97"/>
      <c r="J1" s="97"/>
      <c r="K1" s="97"/>
    </row>
    <row r="2" spans="1:11" ht="14.5" x14ac:dyDescent="0.35">
      <c r="A2" s="36" t="s">
        <v>327</v>
      </c>
      <c r="B2" s="36" t="s">
        <v>337</v>
      </c>
      <c r="C2" s="37" t="s">
        <v>295</v>
      </c>
      <c r="D2" s="37" t="s">
        <v>297</v>
      </c>
      <c r="E2" s="37" t="s">
        <v>298</v>
      </c>
      <c r="F2" s="37" t="s">
        <v>299</v>
      </c>
      <c r="G2" s="37" t="s">
        <v>300</v>
      </c>
      <c r="H2" s="37" t="s">
        <v>301</v>
      </c>
      <c r="I2" s="37" t="s">
        <v>302</v>
      </c>
      <c r="J2" s="37" t="s">
        <v>303</v>
      </c>
      <c r="K2" s="37" t="s">
        <v>304</v>
      </c>
    </row>
    <row r="3" spans="1:11" ht="14.5" x14ac:dyDescent="0.35">
      <c r="A3" s="38" t="s">
        <v>333</v>
      </c>
      <c r="B3" s="38" t="s">
        <v>343</v>
      </c>
      <c r="C3" s="39">
        <v>99.817800000000005</v>
      </c>
      <c r="D3" s="39">
        <v>100</v>
      </c>
      <c r="E3" s="39">
        <v>99.946399999999997</v>
      </c>
      <c r="F3" s="39">
        <v>99.752099999999999</v>
      </c>
      <c r="G3" s="39">
        <v>99.194599999999994</v>
      </c>
      <c r="H3" s="39">
        <v>100</v>
      </c>
      <c r="I3" s="39" t="s">
        <v>166</v>
      </c>
      <c r="J3" s="39">
        <v>97.881399999999999</v>
      </c>
      <c r="K3" s="39">
        <v>99.497500000000002</v>
      </c>
    </row>
    <row r="4" spans="1:11" ht="14.5" x14ac:dyDescent="0.35">
      <c r="A4" s="38" t="s">
        <v>333</v>
      </c>
      <c r="B4" s="38" t="s">
        <v>344</v>
      </c>
      <c r="C4" s="39">
        <v>73.114400000000003</v>
      </c>
      <c r="D4" s="39">
        <v>60.894500000000001</v>
      </c>
      <c r="E4" s="39">
        <v>73.634299999999996</v>
      </c>
      <c r="F4" s="39">
        <v>69.666600000000003</v>
      </c>
      <c r="G4" s="39">
        <v>56.439300000000003</v>
      </c>
      <c r="H4" s="39">
        <v>44.914700000000003</v>
      </c>
      <c r="I4" s="39">
        <v>63.450800000000001</v>
      </c>
      <c r="J4" s="39">
        <v>50.274299999999997</v>
      </c>
      <c r="K4" s="39">
        <v>67.203699999999998</v>
      </c>
    </row>
    <row r="5" spans="1:11" ht="14.5" x14ac:dyDescent="0.35">
      <c r="A5" s="38" t="s">
        <v>333</v>
      </c>
      <c r="B5" s="38" t="s">
        <v>345</v>
      </c>
      <c r="C5" s="39">
        <v>67.419600000000003</v>
      </c>
      <c r="D5" s="39">
        <v>62.682299999999998</v>
      </c>
      <c r="E5" s="39">
        <v>67.8279</v>
      </c>
      <c r="F5" s="39">
        <v>47.781300000000002</v>
      </c>
      <c r="G5" s="39">
        <v>51.674199999999999</v>
      </c>
      <c r="H5" s="39">
        <v>36.208500000000001</v>
      </c>
      <c r="I5" s="39">
        <v>49.2958</v>
      </c>
      <c r="J5" s="39">
        <v>47.058199999999999</v>
      </c>
      <c r="K5" s="39">
        <v>60.682299999999998</v>
      </c>
    </row>
    <row r="6" spans="1:11" ht="14.5" x14ac:dyDescent="0.35">
      <c r="A6" s="38" t="s">
        <v>333</v>
      </c>
      <c r="B6" s="38" t="s">
        <v>346</v>
      </c>
      <c r="C6" s="39">
        <v>74.0839</v>
      </c>
      <c r="D6" s="39">
        <v>71.5762</v>
      </c>
      <c r="E6" s="39">
        <v>77.496399999999994</v>
      </c>
      <c r="F6" s="39">
        <v>62.3324</v>
      </c>
      <c r="G6" s="39">
        <v>65.426199999999994</v>
      </c>
      <c r="H6" s="39">
        <v>51.832099999999997</v>
      </c>
      <c r="I6" s="39">
        <v>67.472899999999996</v>
      </c>
      <c r="J6" s="39">
        <v>52.850200000000001</v>
      </c>
      <c r="K6" s="39">
        <v>68.967600000000004</v>
      </c>
    </row>
    <row r="7" spans="1:11" ht="14.5" x14ac:dyDescent="0.35">
      <c r="A7" s="38" t="s">
        <v>333</v>
      </c>
      <c r="B7" s="38" t="s">
        <v>347</v>
      </c>
      <c r="C7" s="39">
        <v>89.7136</v>
      </c>
      <c r="D7" s="39">
        <v>87.5411</v>
      </c>
      <c r="E7" s="39">
        <v>92.356399999999994</v>
      </c>
      <c r="F7" s="39">
        <v>87.736999999999995</v>
      </c>
      <c r="G7" s="39">
        <v>83.540499999999994</v>
      </c>
      <c r="H7" s="39">
        <v>68.509200000000007</v>
      </c>
      <c r="I7" s="39">
        <v>86.6995</v>
      </c>
      <c r="J7" s="39">
        <v>83.3005</v>
      </c>
      <c r="K7" s="39">
        <v>88.343199999999996</v>
      </c>
    </row>
    <row r="8" spans="1:11" ht="14.5" x14ac:dyDescent="0.35">
      <c r="A8" s="60" t="s">
        <v>333</v>
      </c>
      <c r="B8" s="60" t="s">
        <v>1281</v>
      </c>
      <c r="C8" s="63">
        <v>73.105199999999996</v>
      </c>
      <c r="D8" s="63">
        <v>66.67</v>
      </c>
      <c r="E8" s="63">
        <v>72.997600000000006</v>
      </c>
      <c r="F8" s="63">
        <v>60.742400000000004</v>
      </c>
      <c r="G8" s="63">
        <v>60.149900000000002</v>
      </c>
      <c r="H8" s="63">
        <v>44.877600000000001</v>
      </c>
      <c r="I8" s="63">
        <v>59.928699999999999</v>
      </c>
      <c r="J8" s="63">
        <v>52.7699</v>
      </c>
      <c r="K8" s="63">
        <v>67.003</v>
      </c>
    </row>
    <row r="9" spans="1:11" ht="14.5" x14ac:dyDescent="0.35">
      <c r="A9" s="38" t="s">
        <v>331</v>
      </c>
      <c r="B9" s="38" t="s">
        <v>343</v>
      </c>
      <c r="C9" s="39">
        <v>99.961299999999994</v>
      </c>
      <c r="D9" s="39">
        <v>100</v>
      </c>
      <c r="E9" s="39">
        <v>99.959100000000007</v>
      </c>
      <c r="F9" s="39">
        <v>99.848200000000006</v>
      </c>
      <c r="G9" s="39">
        <v>98.986199999999997</v>
      </c>
      <c r="H9" s="39">
        <v>99.524600000000007</v>
      </c>
      <c r="I9" s="39">
        <v>99.204499999999996</v>
      </c>
      <c r="J9" s="39">
        <v>99.223799999999997</v>
      </c>
      <c r="K9" s="39">
        <v>99.838999999999999</v>
      </c>
    </row>
    <row r="10" spans="1:11" ht="14.5" x14ac:dyDescent="0.35">
      <c r="A10" s="38" t="s">
        <v>331</v>
      </c>
      <c r="B10" s="38" t="s">
        <v>344</v>
      </c>
      <c r="C10" s="39">
        <v>75.819599999999994</v>
      </c>
      <c r="D10" s="39">
        <v>64.028999999999996</v>
      </c>
      <c r="E10" s="39">
        <v>72.935400000000001</v>
      </c>
      <c r="F10" s="39">
        <v>66.180800000000005</v>
      </c>
      <c r="G10" s="39">
        <v>49.957000000000001</v>
      </c>
      <c r="H10" s="39">
        <v>46.939599999999999</v>
      </c>
      <c r="I10" s="39">
        <v>64.364000000000004</v>
      </c>
      <c r="J10" s="39">
        <v>47.912399999999998</v>
      </c>
      <c r="K10" s="39">
        <v>68.546800000000005</v>
      </c>
    </row>
    <row r="11" spans="1:11" ht="14.5" x14ac:dyDescent="0.35">
      <c r="A11" s="38" t="s">
        <v>331</v>
      </c>
      <c r="B11" s="38" t="s">
        <v>345</v>
      </c>
      <c r="C11" s="39">
        <v>67.855400000000003</v>
      </c>
      <c r="D11" s="39">
        <v>69.389799999999994</v>
      </c>
      <c r="E11" s="39">
        <v>67.146500000000003</v>
      </c>
      <c r="F11" s="39">
        <v>27.148199999999999</v>
      </c>
      <c r="G11" s="39">
        <v>43.186</v>
      </c>
      <c r="H11" s="39">
        <v>37.886499999999998</v>
      </c>
      <c r="I11" s="39">
        <v>51.3444</v>
      </c>
      <c r="J11" s="39">
        <v>32.607100000000003</v>
      </c>
      <c r="K11" s="39">
        <v>61.120100000000001</v>
      </c>
    </row>
    <row r="12" spans="1:11" ht="14.5" x14ac:dyDescent="0.35">
      <c r="A12" s="38" t="s">
        <v>331</v>
      </c>
      <c r="B12" s="38" t="s">
        <v>346</v>
      </c>
      <c r="C12" s="39">
        <v>74.078900000000004</v>
      </c>
      <c r="D12" s="39">
        <v>75.8874</v>
      </c>
      <c r="E12" s="39">
        <v>77.725200000000001</v>
      </c>
      <c r="F12" s="39">
        <v>44.411499999999997</v>
      </c>
      <c r="G12" s="39">
        <v>61.108600000000003</v>
      </c>
      <c r="H12" s="39">
        <v>52.322099999999999</v>
      </c>
      <c r="I12" s="39">
        <v>68.622900000000001</v>
      </c>
      <c r="J12" s="39">
        <v>43.715899999999998</v>
      </c>
      <c r="K12" s="39">
        <v>69.765699999999995</v>
      </c>
    </row>
    <row r="13" spans="1:11" ht="14.5" x14ac:dyDescent="0.35">
      <c r="A13" s="38" t="s">
        <v>331</v>
      </c>
      <c r="B13" s="38" t="s">
        <v>347</v>
      </c>
      <c r="C13" s="39">
        <v>90.150099999999995</v>
      </c>
      <c r="D13" s="39">
        <v>90.759900000000002</v>
      </c>
      <c r="E13" s="39">
        <v>92.668099999999995</v>
      </c>
      <c r="F13" s="39">
        <v>78.373000000000005</v>
      </c>
      <c r="G13" s="39">
        <v>84.391499999999994</v>
      </c>
      <c r="H13" s="39">
        <v>74.871700000000004</v>
      </c>
      <c r="I13" s="39">
        <v>88.847999999999999</v>
      </c>
      <c r="J13" s="39">
        <v>81.313400000000001</v>
      </c>
      <c r="K13" s="39">
        <v>88.9</v>
      </c>
    </row>
    <row r="14" spans="1:11" ht="14.5" x14ac:dyDescent="0.35">
      <c r="A14" s="60" t="s">
        <v>331</v>
      </c>
      <c r="B14" s="60" t="s">
        <v>1281</v>
      </c>
      <c r="C14" s="63">
        <v>73.2102</v>
      </c>
      <c r="D14" s="63">
        <v>71.684100000000001</v>
      </c>
      <c r="E14" s="63">
        <v>72.372399999999999</v>
      </c>
      <c r="F14" s="63">
        <v>43.358499999999999</v>
      </c>
      <c r="G14" s="63">
        <v>52.988799999999998</v>
      </c>
      <c r="H14" s="63">
        <v>46.0535</v>
      </c>
      <c r="I14" s="63">
        <v>61.742600000000003</v>
      </c>
      <c r="J14" s="63">
        <v>43.698500000000003</v>
      </c>
      <c r="K14" s="63">
        <v>67.090500000000006</v>
      </c>
    </row>
    <row r="15" spans="1:11" ht="14.5" x14ac:dyDescent="0.35">
      <c r="A15" s="38" t="s">
        <v>534</v>
      </c>
      <c r="B15" s="38" t="s">
        <v>343</v>
      </c>
      <c r="C15" s="39">
        <v>100</v>
      </c>
      <c r="D15" s="39">
        <v>100</v>
      </c>
      <c r="E15" s="39">
        <v>100</v>
      </c>
      <c r="F15" s="39">
        <v>100</v>
      </c>
      <c r="G15" s="39">
        <v>97.448999999999998</v>
      </c>
      <c r="H15" s="39" t="s">
        <v>166</v>
      </c>
      <c r="I15" s="39" t="s">
        <v>166</v>
      </c>
      <c r="J15" s="39" t="s">
        <v>166</v>
      </c>
      <c r="K15" s="39">
        <v>99.62</v>
      </c>
    </row>
    <row r="16" spans="1:11" ht="14.5" x14ac:dyDescent="0.35">
      <c r="A16" s="38" t="s">
        <v>534</v>
      </c>
      <c r="B16" s="38" t="s">
        <v>344</v>
      </c>
      <c r="C16" s="39">
        <v>76.734800000000007</v>
      </c>
      <c r="D16" s="39">
        <v>68.085099999999997</v>
      </c>
      <c r="E16" s="39">
        <v>76.4482</v>
      </c>
      <c r="F16" s="39">
        <v>67.572800000000001</v>
      </c>
      <c r="G16" s="39">
        <v>44.416699999999999</v>
      </c>
      <c r="H16" s="39">
        <v>56.223199999999999</v>
      </c>
      <c r="I16" s="39">
        <v>70.379099999999994</v>
      </c>
      <c r="J16" s="39" t="s">
        <v>166</v>
      </c>
      <c r="K16" s="39">
        <v>65.9405</v>
      </c>
    </row>
    <row r="17" spans="1:11" ht="14.5" x14ac:dyDescent="0.35">
      <c r="A17" s="38" t="s">
        <v>534</v>
      </c>
      <c r="B17" s="38" t="s">
        <v>345</v>
      </c>
      <c r="C17" s="39">
        <v>71.455399999999997</v>
      </c>
      <c r="D17" s="39">
        <v>69.450199999999995</v>
      </c>
      <c r="E17" s="39">
        <v>65.4512</v>
      </c>
      <c r="F17" s="39">
        <v>31.529699999999998</v>
      </c>
      <c r="G17" s="39">
        <v>39.320799999999998</v>
      </c>
      <c r="H17" s="39">
        <v>41.349699999999999</v>
      </c>
      <c r="I17" s="39">
        <v>49.554600000000001</v>
      </c>
      <c r="J17" s="39" t="s">
        <v>166</v>
      </c>
      <c r="K17" s="39">
        <v>59.661999999999999</v>
      </c>
    </row>
    <row r="18" spans="1:11" ht="14.5" x14ac:dyDescent="0.35">
      <c r="A18" s="38" t="s">
        <v>534</v>
      </c>
      <c r="B18" s="38" t="s">
        <v>346</v>
      </c>
      <c r="C18" s="39">
        <v>78.038200000000003</v>
      </c>
      <c r="D18" s="39">
        <v>73.632199999999997</v>
      </c>
      <c r="E18" s="39">
        <v>75.870099999999994</v>
      </c>
      <c r="F18" s="39">
        <v>52.3444</v>
      </c>
      <c r="G18" s="39">
        <v>59.4343</v>
      </c>
      <c r="H18" s="39">
        <v>60.478999999999999</v>
      </c>
      <c r="I18" s="39">
        <v>69.3262</v>
      </c>
      <c r="J18" s="39" t="s">
        <v>166</v>
      </c>
      <c r="K18" s="39">
        <v>71.147099999999995</v>
      </c>
    </row>
    <row r="19" spans="1:11" ht="14.5" x14ac:dyDescent="0.35">
      <c r="A19" s="38" t="s">
        <v>534</v>
      </c>
      <c r="B19" s="38" t="s">
        <v>347</v>
      </c>
      <c r="C19" s="39">
        <v>92.7453</v>
      </c>
      <c r="D19" s="39">
        <v>91.904799999999994</v>
      </c>
      <c r="E19" s="39">
        <v>95.569599999999994</v>
      </c>
      <c r="F19" s="39">
        <v>85.714299999999994</v>
      </c>
      <c r="G19" s="39">
        <v>85.419700000000006</v>
      </c>
      <c r="H19" s="39" t="s">
        <v>166</v>
      </c>
      <c r="I19" s="39" t="s">
        <v>166</v>
      </c>
      <c r="J19" s="39" t="s">
        <v>166</v>
      </c>
      <c r="K19" s="39">
        <v>91.105999999999995</v>
      </c>
    </row>
    <row r="20" spans="1:11" ht="15" thickBot="1" x14ac:dyDescent="0.4">
      <c r="A20" s="59" t="s">
        <v>534</v>
      </c>
      <c r="B20" s="54" t="s">
        <v>1281</v>
      </c>
      <c r="C20" s="64">
        <v>77.547600000000003</v>
      </c>
      <c r="D20" s="64">
        <v>72.837000000000003</v>
      </c>
      <c r="E20" s="64">
        <v>73.974999999999994</v>
      </c>
      <c r="F20" s="64">
        <v>52.263500000000001</v>
      </c>
      <c r="G20" s="64">
        <v>49.4101</v>
      </c>
      <c r="H20" s="64">
        <v>52.578400000000002</v>
      </c>
      <c r="I20" s="64">
        <v>62.658799999999999</v>
      </c>
      <c r="J20" s="64">
        <v>46.988</v>
      </c>
      <c r="K20" s="64">
        <v>67.975300000000004</v>
      </c>
    </row>
    <row r="21" spans="1:11" ht="21.5" customHeight="1" x14ac:dyDescent="0.35">
      <c r="A21" s="100" t="s">
        <v>535</v>
      </c>
      <c r="B21" s="99"/>
      <c r="C21" s="99"/>
      <c r="D21" s="99"/>
      <c r="E21" s="99"/>
      <c r="F21" s="99"/>
      <c r="G21" s="99"/>
      <c r="H21" s="99"/>
      <c r="I21" s="99"/>
      <c r="J21" s="99"/>
      <c r="K21" s="99"/>
    </row>
    <row r="22" spans="1:11" ht="14.5" x14ac:dyDescent="0.35">
      <c r="A22" s="100" t="s">
        <v>536</v>
      </c>
      <c r="B22" s="99"/>
      <c r="C22" s="99"/>
      <c r="D22" s="99"/>
      <c r="E22" s="99"/>
      <c r="F22" s="99"/>
      <c r="G22" s="99"/>
      <c r="H22" s="99"/>
      <c r="I22" s="99"/>
      <c r="J22" s="99"/>
      <c r="K22" s="99"/>
    </row>
    <row r="23" spans="1:11" ht="14.5" x14ac:dyDescent="0.35">
      <c r="A23" s="100" t="s">
        <v>537</v>
      </c>
      <c r="B23" s="99"/>
      <c r="C23" s="99"/>
      <c r="D23" s="99"/>
      <c r="E23" s="99"/>
      <c r="F23" s="99"/>
      <c r="G23" s="99"/>
      <c r="H23" s="99"/>
      <c r="I23" s="99"/>
      <c r="J23" s="99"/>
      <c r="K23" s="99"/>
    </row>
    <row r="24" spans="1:11" ht="14.5" x14ac:dyDescent="0.35">
      <c r="A24" s="44"/>
      <c r="B24" s="35"/>
      <c r="C24" s="35"/>
      <c r="D24" s="35"/>
      <c r="E24" s="35"/>
      <c r="F24" s="35"/>
      <c r="G24" s="35"/>
      <c r="H24" s="35"/>
      <c r="I24" s="35"/>
      <c r="J24" s="35"/>
      <c r="K24" s="35"/>
    </row>
    <row r="25" spans="1:11" ht="14.5" x14ac:dyDescent="0.35">
      <c r="A25" s="35" t="s">
        <v>290</v>
      </c>
      <c r="B25" s="35"/>
      <c r="C25" s="35"/>
      <c r="D25" s="35"/>
      <c r="E25" s="35"/>
      <c r="F25" s="35"/>
      <c r="G25" s="35"/>
      <c r="H25" s="35"/>
      <c r="I25" s="35"/>
      <c r="J25" s="35"/>
      <c r="K25" s="35"/>
    </row>
    <row r="26" spans="1:11" ht="14.5" x14ac:dyDescent="0.35">
      <c r="A26" s="45" t="s">
        <v>291</v>
      </c>
      <c r="B26" s="35"/>
      <c r="C26" s="35"/>
      <c r="D26" s="35"/>
      <c r="E26" s="35"/>
      <c r="F26" s="35"/>
      <c r="G26" s="35"/>
      <c r="H26" s="35"/>
      <c r="I26" s="35"/>
      <c r="J26" s="35"/>
      <c r="K26" s="35"/>
    </row>
    <row r="27" spans="1:11" ht="14.5" x14ac:dyDescent="0.35">
      <c r="A27" s="35"/>
      <c r="B27" s="35"/>
      <c r="C27" s="35"/>
      <c r="D27" s="35"/>
      <c r="E27" s="35"/>
      <c r="F27" s="35"/>
      <c r="G27" s="35"/>
      <c r="H27" s="35"/>
      <c r="I27" s="35"/>
      <c r="J27" s="35"/>
      <c r="K27" s="35"/>
    </row>
    <row r="28" spans="1:11" ht="14.5" x14ac:dyDescent="0.35">
      <c r="A28" s="45" t="s">
        <v>3</v>
      </c>
      <c r="B28" s="35"/>
      <c r="C28" s="35"/>
      <c r="D28" s="35"/>
      <c r="E28" s="35"/>
      <c r="F28" s="35"/>
      <c r="G28" s="35"/>
      <c r="H28" s="35"/>
      <c r="I28" s="35"/>
      <c r="J28" s="35"/>
      <c r="K28" s="35"/>
    </row>
    <row r="29" spans="1:11" ht="14.5" x14ac:dyDescent="0.35">
      <c r="A29" s="35"/>
      <c r="B29" s="35"/>
      <c r="C29" s="35"/>
      <c r="D29" s="35"/>
      <c r="E29" s="35"/>
      <c r="F29" s="35"/>
      <c r="G29" s="35"/>
      <c r="H29" s="35"/>
      <c r="I29" s="35"/>
      <c r="J29" s="35"/>
      <c r="K29" s="35"/>
    </row>
    <row r="30" spans="1:11" ht="14.5" x14ac:dyDescent="0.35">
      <c r="A30" s="45" t="s">
        <v>292</v>
      </c>
      <c r="B30" s="35"/>
      <c r="C30" s="35"/>
      <c r="D30" s="35"/>
      <c r="E30" s="35"/>
      <c r="F30" s="35"/>
      <c r="G30" s="35"/>
      <c r="H30" s="35"/>
      <c r="I30" s="35"/>
      <c r="J30" s="35"/>
      <c r="K30" s="35"/>
    </row>
  </sheetData>
  <mergeCells count="4">
    <mergeCell ref="A21:K21"/>
    <mergeCell ref="A22:K22"/>
    <mergeCell ref="A1:K1"/>
    <mergeCell ref="A23:K23"/>
  </mergeCells>
  <hyperlinks>
    <hyperlink ref="A26" r:id="rId1" xr:uid="{00000000-0004-0000-1D00-000000000000}"/>
    <hyperlink ref="A28" location="'Technical specifications'!A1" display="Technical specifications" xr:uid="{00000000-0004-0000-1D00-000001000000}"/>
    <hyperlink ref="A30" location="Contents!A1" display="Back to contents" xr:uid="{00000000-0004-0000-1D00-000002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L50"/>
  <sheetViews>
    <sheetView workbookViewId="0">
      <selection sqref="A1:L1"/>
    </sheetView>
  </sheetViews>
  <sheetFormatPr defaultRowHeight="14.75" customHeight="1" x14ac:dyDescent="0.35"/>
  <cols>
    <col min="1" max="1" width="30" customWidth="1"/>
    <col min="2" max="2" width="15" customWidth="1"/>
    <col min="3" max="3" width="26" customWidth="1"/>
    <col min="4" max="12" width="8.453125" customWidth="1"/>
  </cols>
  <sheetData>
    <row r="1" spans="1:12" ht="33.75" customHeight="1" x14ac:dyDescent="0.35">
      <c r="A1" s="96" t="s">
        <v>538</v>
      </c>
      <c r="B1" s="97"/>
      <c r="C1" s="97"/>
      <c r="D1" s="97"/>
      <c r="E1" s="97"/>
      <c r="F1" s="97"/>
      <c r="G1" s="97"/>
      <c r="H1" s="97"/>
      <c r="I1" s="97"/>
      <c r="J1" s="97"/>
      <c r="K1" s="97"/>
      <c r="L1" s="97"/>
    </row>
    <row r="2" spans="1:12" ht="14.5" x14ac:dyDescent="0.35">
      <c r="A2" s="36" t="s">
        <v>327</v>
      </c>
      <c r="B2" s="36" t="s">
        <v>337</v>
      </c>
      <c r="C2" s="36" t="s">
        <v>294</v>
      </c>
      <c r="D2" s="37" t="s">
        <v>295</v>
      </c>
      <c r="E2" s="37" t="s">
        <v>297</v>
      </c>
      <c r="F2" s="37" t="s">
        <v>298</v>
      </c>
      <c r="G2" s="37" t="s">
        <v>299</v>
      </c>
      <c r="H2" s="37" t="s">
        <v>300</v>
      </c>
      <c r="I2" s="37" t="s">
        <v>301</v>
      </c>
      <c r="J2" s="37" t="s">
        <v>302</v>
      </c>
      <c r="K2" s="37" t="s">
        <v>303</v>
      </c>
      <c r="L2" s="37" t="s">
        <v>304</v>
      </c>
    </row>
    <row r="3" spans="1:12" ht="14.5" x14ac:dyDescent="0.35">
      <c r="A3" s="38" t="s">
        <v>333</v>
      </c>
      <c r="B3" s="38" t="s">
        <v>343</v>
      </c>
      <c r="C3" s="38" t="s">
        <v>296</v>
      </c>
      <c r="D3" s="39">
        <v>2205</v>
      </c>
      <c r="E3" s="39">
        <v>778</v>
      </c>
      <c r="F3" s="39">
        <v>1873</v>
      </c>
      <c r="G3" s="39">
        <v>1217</v>
      </c>
      <c r="H3" s="39">
        <v>745</v>
      </c>
      <c r="I3" s="39">
        <v>113</v>
      </c>
      <c r="J3" s="39">
        <v>74</v>
      </c>
      <c r="K3" s="39">
        <v>1180</v>
      </c>
      <c r="L3" s="39">
        <v>8185</v>
      </c>
    </row>
    <row r="4" spans="1:12" ht="14.5" x14ac:dyDescent="0.35">
      <c r="A4" s="38" t="s">
        <v>333</v>
      </c>
      <c r="B4" s="38" t="s">
        <v>344</v>
      </c>
      <c r="C4" s="38" t="s">
        <v>296</v>
      </c>
      <c r="D4" s="39">
        <v>39591</v>
      </c>
      <c r="E4" s="39">
        <v>11504</v>
      </c>
      <c r="F4" s="39">
        <v>35642</v>
      </c>
      <c r="G4" s="39">
        <v>18347</v>
      </c>
      <c r="H4" s="39">
        <v>7107</v>
      </c>
      <c r="I4" s="39">
        <v>2963</v>
      </c>
      <c r="J4" s="39">
        <v>1080</v>
      </c>
      <c r="K4" s="39">
        <v>16964</v>
      </c>
      <c r="L4" s="39">
        <v>133198</v>
      </c>
    </row>
    <row r="5" spans="1:12" ht="14.5" x14ac:dyDescent="0.35">
      <c r="A5" s="38" t="s">
        <v>333</v>
      </c>
      <c r="B5" s="38" t="s">
        <v>345</v>
      </c>
      <c r="C5" s="38" t="s">
        <v>296</v>
      </c>
      <c r="D5" s="39">
        <v>102330</v>
      </c>
      <c r="E5" s="39">
        <v>28590</v>
      </c>
      <c r="F5" s="39">
        <v>82913</v>
      </c>
      <c r="G5" s="39">
        <v>44931</v>
      </c>
      <c r="H5" s="39">
        <v>18059</v>
      </c>
      <c r="I5" s="39">
        <v>6964</v>
      </c>
      <c r="J5" s="39">
        <v>3464</v>
      </c>
      <c r="K5" s="39">
        <v>31556</v>
      </c>
      <c r="L5" s="39">
        <v>318807</v>
      </c>
    </row>
    <row r="6" spans="1:12" ht="14.5" x14ac:dyDescent="0.35">
      <c r="A6" s="38" t="s">
        <v>333</v>
      </c>
      <c r="B6" s="38" t="s">
        <v>346</v>
      </c>
      <c r="C6" s="38" t="s">
        <v>296</v>
      </c>
      <c r="D6" s="39">
        <v>113424</v>
      </c>
      <c r="E6" s="39">
        <v>20596</v>
      </c>
      <c r="F6" s="39">
        <v>51969</v>
      </c>
      <c r="G6" s="39">
        <v>57328</v>
      </c>
      <c r="H6" s="39">
        <v>16704</v>
      </c>
      <c r="I6" s="39">
        <v>5770</v>
      </c>
      <c r="J6" s="39">
        <v>2534</v>
      </c>
      <c r="K6" s="39">
        <v>38328</v>
      </c>
      <c r="L6" s="39">
        <v>306653</v>
      </c>
    </row>
    <row r="7" spans="1:12" ht="14.5" x14ac:dyDescent="0.35">
      <c r="A7" s="38" t="s">
        <v>333</v>
      </c>
      <c r="B7" s="38" t="s">
        <v>347</v>
      </c>
      <c r="C7" s="38" t="s">
        <v>296</v>
      </c>
      <c r="D7" s="39">
        <v>28466</v>
      </c>
      <c r="E7" s="39">
        <v>3454</v>
      </c>
      <c r="F7" s="39">
        <v>7704</v>
      </c>
      <c r="G7" s="39">
        <v>11248</v>
      </c>
      <c r="H7" s="39">
        <v>3270</v>
      </c>
      <c r="I7" s="39">
        <v>727</v>
      </c>
      <c r="J7" s="39">
        <v>455</v>
      </c>
      <c r="K7" s="39">
        <v>6972</v>
      </c>
      <c r="L7" s="39">
        <v>62296</v>
      </c>
    </row>
    <row r="8" spans="1:12" ht="14.5" x14ac:dyDescent="0.35">
      <c r="A8" s="60" t="s">
        <v>333</v>
      </c>
      <c r="B8" s="60" t="s">
        <v>1297</v>
      </c>
      <c r="C8" s="60" t="s">
        <v>296</v>
      </c>
      <c r="D8" s="63">
        <v>286404</v>
      </c>
      <c r="E8" s="63">
        <v>64922</v>
      </c>
      <c r="F8" s="63">
        <v>180101</v>
      </c>
      <c r="G8" s="63">
        <v>133076</v>
      </c>
      <c r="H8" s="63">
        <v>45885</v>
      </c>
      <c r="I8" s="63">
        <v>16537</v>
      </c>
      <c r="J8" s="63">
        <v>7624</v>
      </c>
      <c r="K8" s="63">
        <v>95000</v>
      </c>
      <c r="L8" s="63">
        <v>829549</v>
      </c>
    </row>
    <row r="9" spans="1:12" ht="14.5" x14ac:dyDescent="0.35">
      <c r="A9" s="38" t="s">
        <v>331</v>
      </c>
      <c r="B9" s="38" t="s">
        <v>343</v>
      </c>
      <c r="C9" s="38" t="s">
        <v>296</v>
      </c>
      <c r="D9" s="39">
        <v>23357</v>
      </c>
      <c r="E9" s="39">
        <v>15540</v>
      </c>
      <c r="F9" s="39">
        <v>17126</v>
      </c>
      <c r="G9" s="39">
        <v>9248</v>
      </c>
      <c r="H9" s="39">
        <v>7106</v>
      </c>
      <c r="I9" s="39">
        <v>1263</v>
      </c>
      <c r="J9" s="39">
        <v>880</v>
      </c>
      <c r="K9" s="39">
        <v>773</v>
      </c>
      <c r="L9" s="39">
        <v>75293</v>
      </c>
    </row>
    <row r="10" spans="1:12" ht="14.5" x14ac:dyDescent="0.35">
      <c r="A10" s="38" t="s">
        <v>331</v>
      </c>
      <c r="B10" s="38" t="s">
        <v>344</v>
      </c>
      <c r="C10" s="38" t="s">
        <v>296</v>
      </c>
      <c r="D10" s="39">
        <v>460164</v>
      </c>
      <c r="E10" s="39">
        <v>335173</v>
      </c>
      <c r="F10" s="39">
        <v>340629</v>
      </c>
      <c r="G10" s="39">
        <v>147984</v>
      </c>
      <c r="H10" s="39">
        <v>100324</v>
      </c>
      <c r="I10" s="39">
        <v>31714</v>
      </c>
      <c r="J10" s="39">
        <v>22670</v>
      </c>
      <c r="K10" s="39">
        <v>15284</v>
      </c>
      <c r="L10" s="39">
        <v>1453942</v>
      </c>
    </row>
    <row r="11" spans="1:12" ht="14.5" x14ac:dyDescent="0.35">
      <c r="A11" s="38" t="s">
        <v>331</v>
      </c>
      <c r="B11" s="38" t="s">
        <v>345</v>
      </c>
      <c r="C11" s="38" t="s">
        <v>296</v>
      </c>
      <c r="D11" s="39">
        <v>1090604</v>
      </c>
      <c r="E11" s="39">
        <v>832106</v>
      </c>
      <c r="F11" s="39">
        <v>739179</v>
      </c>
      <c r="G11" s="39">
        <v>359852</v>
      </c>
      <c r="H11" s="39">
        <v>230503</v>
      </c>
      <c r="I11" s="39">
        <v>71336</v>
      </c>
      <c r="J11" s="39">
        <v>68538</v>
      </c>
      <c r="K11" s="39">
        <v>29433</v>
      </c>
      <c r="L11" s="39">
        <v>3421551</v>
      </c>
    </row>
    <row r="12" spans="1:12" ht="14.5" x14ac:dyDescent="0.35">
      <c r="A12" s="38" t="s">
        <v>331</v>
      </c>
      <c r="B12" s="38" t="s">
        <v>346</v>
      </c>
      <c r="C12" s="38" t="s">
        <v>296</v>
      </c>
      <c r="D12" s="39">
        <v>997764</v>
      </c>
      <c r="E12" s="39">
        <v>613196</v>
      </c>
      <c r="F12" s="39">
        <v>418550</v>
      </c>
      <c r="G12" s="39">
        <v>324817</v>
      </c>
      <c r="H12" s="39">
        <v>185845</v>
      </c>
      <c r="I12" s="39">
        <v>52882</v>
      </c>
      <c r="J12" s="39">
        <v>54706</v>
      </c>
      <c r="K12" s="39">
        <v>39533</v>
      </c>
      <c r="L12" s="39">
        <v>2687293</v>
      </c>
    </row>
    <row r="13" spans="1:12" ht="14.5" x14ac:dyDescent="0.35">
      <c r="A13" s="38" t="s">
        <v>331</v>
      </c>
      <c r="B13" s="38" t="s">
        <v>347</v>
      </c>
      <c r="C13" s="38" t="s">
        <v>296</v>
      </c>
      <c r="D13" s="39">
        <v>207187</v>
      </c>
      <c r="E13" s="39">
        <v>96996</v>
      </c>
      <c r="F13" s="39">
        <v>53145</v>
      </c>
      <c r="G13" s="39">
        <v>36295</v>
      </c>
      <c r="H13" s="39">
        <v>29526</v>
      </c>
      <c r="I13" s="39">
        <v>6139</v>
      </c>
      <c r="J13" s="39">
        <v>9577</v>
      </c>
      <c r="K13" s="39">
        <v>6258</v>
      </c>
      <c r="L13" s="39">
        <v>445123</v>
      </c>
    </row>
    <row r="14" spans="1:12" ht="14.5" x14ac:dyDescent="0.35">
      <c r="A14" s="60" t="s">
        <v>331</v>
      </c>
      <c r="B14" s="60" t="s">
        <v>1297</v>
      </c>
      <c r="C14" s="60" t="s">
        <v>296</v>
      </c>
      <c r="D14" s="63">
        <v>2781161</v>
      </c>
      <c r="E14" s="63">
        <v>1893011</v>
      </c>
      <c r="F14" s="63">
        <v>1568629</v>
      </c>
      <c r="G14" s="63">
        <v>878359</v>
      </c>
      <c r="H14" s="63">
        <v>553304</v>
      </c>
      <c r="I14" s="63">
        <v>163334</v>
      </c>
      <c r="J14" s="63">
        <v>156641</v>
      </c>
      <c r="K14" s="63">
        <v>91281</v>
      </c>
      <c r="L14" s="63">
        <v>8085720</v>
      </c>
    </row>
    <row r="15" spans="1:12" ht="14.5" x14ac:dyDescent="0.35">
      <c r="A15" s="38" t="s">
        <v>534</v>
      </c>
      <c r="B15" s="38" t="s">
        <v>343</v>
      </c>
      <c r="C15" s="38" t="s">
        <v>296</v>
      </c>
      <c r="D15" s="39">
        <v>1201</v>
      </c>
      <c r="E15" s="39">
        <v>848</v>
      </c>
      <c r="F15" s="39">
        <v>238</v>
      </c>
      <c r="G15" s="39">
        <v>110</v>
      </c>
      <c r="H15" s="39">
        <v>394</v>
      </c>
      <c r="I15" s="39">
        <v>41</v>
      </c>
      <c r="J15" s="39">
        <v>73</v>
      </c>
      <c r="K15" s="39">
        <v>5</v>
      </c>
      <c r="L15" s="39">
        <v>2910</v>
      </c>
    </row>
    <row r="16" spans="1:12" ht="14.5" x14ac:dyDescent="0.35">
      <c r="A16" s="38" t="s">
        <v>534</v>
      </c>
      <c r="B16" s="38" t="s">
        <v>344</v>
      </c>
      <c r="C16" s="38" t="s">
        <v>296</v>
      </c>
      <c r="D16" s="39">
        <v>6552</v>
      </c>
      <c r="E16" s="39">
        <v>3578</v>
      </c>
      <c r="F16" s="39">
        <v>1107</v>
      </c>
      <c r="G16" s="39">
        <v>523</v>
      </c>
      <c r="H16" s="39">
        <v>4022</v>
      </c>
      <c r="I16" s="39">
        <v>467</v>
      </c>
      <c r="J16" s="39">
        <v>425</v>
      </c>
      <c r="K16" s="39">
        <v>45</v>
      </c>
      <c r="L16" s="39">
        <v>16719</v>
      </c>
    </row>
    <row r="17" spans="1:12" ht="14.5" x14ac:dyDescent="0.35">
      <c r="A17" s="38" t="s">
        <v>534</v>
      </c>
      <c r="B17" s="38" t="s">
        <v>345</v>
      </c>
      <c r="C17" s="38" t="s">
        <v>296</v>
      </c>
      <c r="D17" s="39">
        <v>12786</v>
      </c>
      <c r="E17" s="39">
        <v>5311</v>
      </c>
      <c r="F17" s="39">
        <v>1898</v>
      </c>
      <c r="G17" s="39">
        <v>1092</v>
      </c>
      <c r="H17" s="39">
        <v>7849</v>
      </c>
      <c r="I17" s="39">
        <v>831</v>
      </c>
      <c r="J17" s="39">
        <v>919</v>
      </c>
      <c r="K17" s="39">
        <v>36</v>
      </c>
      <c r="L17" s="39">
        <v>30722</v>
      </c>
    </row>
    <row r="18" spans="1:12" ht="14.5" x14ac:dyDescent="0.35">
      <c r="A18" s="38" t="s">
        <v>534</v>
      </c>
      <c r="B18" s="38" t="s">
        <v>346</v>
      </c>
      <c r="C18" s="38" t="s">
        <v>296</v>
      </c>
      <c r="D18" s="39">
        <v>12605</v>
      </c>
      <c r="E18" s="39">
        <v>3392</v>
      </c>
      <c r="F18" s="39">
        <v>1247</v>
      </c>
      <c r="G18" s="39">
        <v>1354</v>
      </c>
      <c r="H18" s="39">
        <v>5768</v>
      </c>
      <c r="I18" s="39">
        <v>535</v>
      </c>
      <c r="J18" s="39">
        <v>584</v>
      </c>
      <c r="K18" s="39">
        <v>83</v>
      </c>
      <c r="L18" s="39">
        <v>25568</v>
      </c>
    </row>
    <row r="19" spans="1:12" ht="14.5" x14ac:dyDescent="0.35">
      <c r="A19" s="38" t="s">
        <v>534</v>
      </c>
      <c r="B19" s="38" t="s">
        <v>347</v>
      </c>
      <c r="C19" s="38" t="s">
        <v>296</v>
      </c>
      <c r="D19" s="39">
        <v>3680</v>
      </c>
      <c r="E19" s="39">
        <v>703</v>
      </c>
      <c r="F19" s="39">
        <v>282</v>
      </c>
      <c r="G19" s="39">
        <v>235</v>
      </c>
      <c r="H19" s="39">
        <v>860</v>
      </c>
      <c r="I19" s="39">
        <v>61</v>
      </c>
      <c r="J19" s="39">
        <v>97</v>
      </c>
      <c r="K19" s="39">
        <v>26</v>
      </c>
      <c r="L19" s="39">
        <v>5944</v>
      </c>
    </row>
    <row r="20" spans="1:12" ht="14.5" x14ac:dyDescent="0.35">
      <c r="A20" s="60" t="s">
        <v>534</v>
      </c>
      <c r="B20" s="60" t="s">
        <v>1297</v>
      </c>
      <c r="C20" s="60" t="s">
        <v>296</v>
      </c>
      <c r="D20" s="63">
        <v>36873</v>
      </c>
      <c r="E20" s="63">
        <v>13832</v>
      </c>
      <c r="F20" s="63">
        <v>4772</v>
      </c>
      <c r="G20" s="63">
        <v>3314</v>
      </c>
      <c r="H20" s="63">
        <v>18893</v>
      </c>
      <c r="I20" s="63">
        <v>1935</v>
      </c>
      <c r="J20" s="63">
        <v>2108</v>
      </c>
      <c r="K20" s="63">
        <v>195</v>
      </c>
      <c r="L20" s="63">
        <v>81922</v>
      </c>
    </row>
    <row r="21" spans="1:12" ht="14.5" x14ac:dyDescent="0.35">
      <c r="A21" s="38" t="s">
        <v>333</v>
      </c>
      <c r="B21" s="38" t="s">
        <v>343</v>
      </c>
      <c r="C21" s="38" t="s">
        <v>539</v>
      </c>
      <c r="D21" s="39">
        <v>0</v>
      </c>
      <c r="E21" s="39">
        <v>0</v>
      </c>
      <c r="F21" s="39">
        <v>1</v>
      </c>
      <c r="G21" s="39">
        <v>0</v>
      </c>
      <c r="H21" s="39">
        <v>0</v>
      </c>
      <c r="I21" s="39">
        <v>0</v>
      </c>
      <c r="J21" s="39" t="s">
        <v>166</v>
      </c>
      <c r="K21" s="39">
        <v>0</v>
      </c>
      <c r="L21" s="39">
        <v>0</v>
      </c>
    </row>
    <row r="22" spans="1:12" ht="14.5" x14ac:dyDescent="0.35">
      <c r="A22" s="38" t="s">
        <v>333</v>
      </c>
      <c r="B22" s="38" t="s">
        <v>344</v>
      </c>
      <c r="C22" s="38" t="s">
        <v>539</v>
      </c>
      <c r="D22" s="39">
        <v>7</v>
      </c>
      <c r="E22" s="39">
        <v>9</v>
      </c>
      <c r="F22" s="39">
        <v>6</v>
      </c>
      <c r="G22" s="39">
        <v>6</v>
      </c>
      <c r="H22" s="39">
        <v>9</v>
      </c>
      <c r="I22" s="39">
        <v>12</v>
      </c>
      <c r="J22" s="39">
        <v>8</v>
      </c>
      <c r="K22" s="39">
        <v>10</v>
      </c>
      <c r="L22" s="39">
        <v>8</v>
      </c>
    </row>
    <row r="23" spans="1:12" ht="14.5" x14ac:dyDescent="0.35">
      <c r="A23" s="38" t="s">
        <v>333</v>
      </c>
      <c r="B23" s="38" t="s">
        <v>345</v>
      </c>
      <c r="C23" s="38" t="s">
        <v>539</v>
      </c>
      <c r="D23" s="39">
        <v>18</v>
      </c>
      <c r="E23" s="39">
        <v>21</v>
      </c>
      <c r="F23" s="39">
        <v>18</v>
      </c>
      <c r="G23" s="39">
        <v>33</v>
      </c>
      <c r="H23" s="39">
        <v>29</v>
      </c>
      <c r="I23" s="39">
        <v>49</v>
      </c>
      <c r="J23" s="39">
        <v>31</v>
      </c>
      <c r="K23" s="39">
        <v>34</v>
      </c>
      <c r="L23" s="39">
        <v>22</v>
      </c>
    </row>
    <row r="24" spans="1:12" ht="14.5" x14ac:dyDescent="0.35">
      <c r="A24" s="38" t="s">
        <v>333</v>
      </c>
      <c r="B24" s="38" t="s">
        <v>346</v>
      </c>
      <c r="C24" s="38" t="s">
        <v>539</v>
      </c>
      <c r="D24" s="39">
        <v>22</v>
      </c>
      <c r="E24" s="39">
        <v>28</v>
      </c>
      <c r="F24" s="39">
        <v>24</v>
      </c>
      <c r="G24" s="39">
        <v>39</v>
      </c>
      <c r="H24" s="39">
        <v>35</v>
      </c>
      <c r="I24" s="39">
        <v>57</v>
      </c>
      <c r="J24" s="39">
        <v>36</v>
      </c>
      <c r="K24" s="39">
        <v>55</v>
      </c>
      <c r="L24" s="39">
        <v>30</v>
      </c>
    </row>
    <row r="25" spans="1:12" ht="14.5" x14ac:dyDescent="0.35">
      <c r="A25" s="38" t="s">
        <v>333</v>
      </c>
      <c r="B25" s="38" t="s">
        <v>347</v>
      </c>
      <c r="C25" s="38" t="s">
        <v>539</v>
      </c>
      <c r="D25" s="39">
        <v>16</v>
      </c>
      <c r="E25" s="39">
        <v>26</v>
      </c>
      <c r="F25" s="39">
        <v>25</v>
      </c>
      <c r="G25" s="39">
        <v>28</v>
      </c>
      <c r="H25" s="39">
        <v>31</v>
      </c>
      <c r="I25" s="39">
        <v>58</v>
      </c>
      <c r="J25" s="39">
        <v>36.5</v>
      </c>
      <c r="K25" s="39">
        <v>25</v>
      </c>
      <c r="L25" s="39">
        <v>22</v>
      </c>
    </row>
    <row r="26" spans="1:12" ht="14.5" x14ac:dyDescent="0.35">
      <c r="A26" s="60" t="s">
        <v>333</v>
      </c>
      <c r="B26" s="60" t="s">
        <v>1297</v>
      </c>
      <c r="C26" s="60" t="s">
        <v>539</v>
      </c>
      <c r="D26" s="63">
        <v>16</v>
      </c>
      <c r="E26" s="63">
        <v>18</v>
      </c>
      <c r="F26" s="63">
        <v>15</v>
      </c>
      <c r="G26" s="63">
        <v>26</v>
      </c>
      <c r="H26" s="63">
        <v>25</v>
      </c>
      <c r="I26" s="63">
        <v>38</v>
      </c>
      <c r="J26" s="63">
        <v>27</v>
      </c>
      <c r="K26" s="63">
        <v>30</v>
      </c>
      <c r="L26" s="63">
        <v>19</v>
      </c>
    </row>
    <row r="27" spans="1:12" ht="14.5" x14ac:dyDescent="0.35">
      <c r="A27" s="38" t="s">
        <v>331</v>
      </c>
      <c r="B27" s="38" t="s">
        <v>343</v>
      </c>
      <c r="C27" s="38" t="s">
        <v>539</v>
      </c>
      <c r="D27" s="39">
        <v>0</v>
      </c>
      <c r="E27" s="39">
        <v>0</v>
      </c>
      <c r="F27" s="39">
        <v>1</v>
      </c>
      <c r="G27" s="39">
        <v>0</v>
      </c>
      <c r="H27" s="39">
        <v>0</v>
      </c>
      <c r="I27" s="39">
        <v>0</v>
      </c>
      <c r="J27" s="39">
        <v>0</v>
      </c>
      <c r="K27" s="39">
        <v>0</v>
      </c>
      <c r="L27" s="39">
        <v>0</v>
      </c>
    </row>
    <row r="28" spans="1:12" ht="14.5" x14ac:dyDescent="0.35">
      <c r="A28" s="38" t="s">
        <v>331</v>
      </c>
      <c r="B28" s="38" t="s">
        <v>344</v>
      </c>
      <c r="C28" s="38" t="s">
        <v>539</v>
      </c>
      <c r="D28" s="39">
        <v>7</v>
      </c>
      <c r="E28" s="39">
        <v>8</v>
      </c>
      <c r="F28" s="39">
        <v>7</v>
      </c>
      <c r="G28" s="39">
        <v>7</v>
      </c>
      <c r="H28" s="39">
        <v>11</v>
      </c>
      <c r="I28" s="39">
        <v>11</v>
      </c>
      <c r="J28" s="39">
        <v>8</v>
      </c>
      <c r="K28" s="39">
        <v>11</v>
      </c>
      <c r="L28" s="39">
        <v>7</v>
      </c>
    </row>
    <row r="29" spans="1:12" ht="14.5" x14ac:dyDescent="0.35">
      <c r="A29" s="38" t="s">
        <v>331</v>
      </c>
      <c r="B29" s="38" t="s">
        <v>345</v>
      </c>
      <c r="C29" s="38" t="s">
        <v>539</v>
      </c>
      <c r="D29" s="39">
        <v>19</v>
      </c>
      <c r="E29" s="39">
        <v>16</v>
      </c>
      <c r="F29" s="39">
        <v>18</v>
      </c>
      <c r="G29" s="39">
        <v>74</v>
      </c>
      <c r="H29" s="39">
        <v>39</v>
      </c>
      <c r="I29" s="39">
        <v>46</v>
      </c>
      <c r="J29" s="39">
        <v>30</v>
      </c>
      <c r="K29" s="39">
        <v>54</v>
      </c>
      <c r="L29" s="39">
        <v>22</v>
      </c>
    </row>
    <row r="30" spans="1:12" ht="14.5" x14ac:dyDescent="0.35">
      <c r="A30" s="38" t="s">
        <v>331</v>
      </c>
      <c r="B30" s="38" t="s">
        <v>346</v>
      </c>
      <c r="C30" s="38" t="s">
        <v>539</v>
      </c>
      <c r="D30" s="39">
        <v>24</v>
      </c>
      <c r="E30" s="39">
        <v>22</v>
      </c>
      <c r="F30" s="39">
        <v>24</v>
      </c>
      <c r="G30" s="39">
        <v>72</v>
      </c>
      <c r="H30" s="39">
        <v>42</v>
      </c>
      <c r="I30" s="39">
        <v>56</v>
      </c>
      <c r="J30" s="39">
        <v>34</v>
      </c>
      <c r="K30" s="39">
        <v>73</v>
      </c>
      <c r="L30" s="39">
        <v>29</v>
      </c>
    </row>
    <row r="31" spans="1:12" ht="14.5" x14ac:dyDescent="0.35">
      <c r="A31" s="38" t="s">
        <v>331</v>
      </c>
      <c r="B31" s="38" t="s">
        <v>347</v>
      </c>
      <c r="C31" s="38" t="s">
        <v>539</v>
      </c>
      <c r="D31" s="39">
        <v>18</v>
      </c>
      <c r="E31" s="39">
        <v>22</v>
      </c>
      <c r="F31" s="39">
        <v>24</v>
      </c>
      <c r="G31" s="39">
        <v>46</v>
      </c>
      <c r="H31" s="39">
        <v>32</v>
      </c>
      <c r="I31" s="39">
        <v>49</v>
      </c>
      <c r="J31" s="39">
        <v>32</v>
      </c>
      <c r="K31" s="39">
        <v>42</v>
      </c>
      <c r="L31" s="39">
        <v>23</v>
      </c>
    </row>
    <row r="32" spans="1:12" ht="14.5" x14ac:dyDescent="0.35">
      <c r="A32" s="60" t="s">
        <v>331</v>
      </c>
      <c r="B32" s="60" t="s">
        <v>1297</v>
      </c>
      <c r="C32" s="60" t="s">
        <v>539</v>
      </c>
      <c r="D32" s="63">
        <v>16</v>
      </c>
      <c r="E32" s="63">
        <v>15</v>
      </c>
      <c r="F32" s="63">
        <v>15</v>
      </c>
      <c r="G32" s="63">
        <v>48</v>
      </c>
      <c r="H32" s="63">
        <v>30</v>
      </c>
      <c r="I32" s="63">
        <v>35</v>
      </c>
      <c r="J32" s="63">
        <v>25</v>
      </c>
      <c r="K32" s="63">
        <v>46</v>
      </c>
      <c r="L32" s="63">
        <v>18</v>
      </c>
    </row>
    <row r="33" spans="1:12" ht="14.5" x14ac:dyDescent="0.35">
      <c r="A33" s="38" t="s">
        <v>534</v>
      </c>
      <c r="B33" s="38" t="s">
        <v>343</v>
      </c>
      <c r="C33" s="38" t="s">
        <v>539</v>
      </c>
      <c r="D33" s="39">
        <v>0</v>
      </c>
      <c r="E33" s="39">
        <v>0</v>
      </c>
      <c r="F33" s="39">
        <v>0</v>
      </c>
      <c r="G33" s="39">
        <v>0</v>
      </c>
      <c r="H33" s="39">
        <v>0</v>
      </c>
      <c r="I33" s="39" t="s">
        <v>166</v>
      </c>
      <c r="J33" s="39" t="s">
        <v>166</v>
      </c>
      <c r="K33" s="39" t="s">
        <v>166</v>
      </c>
      <c r="L33" s="39">
        <v>0</v>
      </c>
    </row>
    <row r="34" spans="1:12" ht="14.5" x14ac:dyDescent="0.35">
      <c r="A34" s="38" t="s">
        <v>534</v>
      </c>
      <c r="B34" s="38" t="s">
        <v>344</v>
      </c>
      <c r="C34" s="38" t="s">
        <v>539</v>
      </c>
      <c r="D34" s="39">
        <v>7</v>
      </c>
      <c r="E34" s="39">
        <v>7</v>
      </c>
      <c r="F34" s="39">
        <v>6</v>
      </c>
      <c r="G34" s="39">
        <v>7</v>
      </c>
      <c r="H34" s="39">
        <v>13</v>
      </c>
      <c r="I34" s="39">
        <v>9.5</v>
      </c>
      <c r="J34" s="39">
        <v>7</v>
      </c>
      <c r="K34" s="39" t="s">
        <v>166</v>
      </c>
      <c r="L34" s="39">
        <v>8</v>
      </c>
    </row>
    <row r="35" spans="1:12" ht="14.5" x14ac:dyDescent="0.35">
      <c r="A35" s="38" t="s">
        <v>534</v>
      </c>
      <c r="B35" s="38" t="s">
        <v>345</v>
      </c>
      <c r="C35" s="38" t="s">
        <v>539</v>
      </c>
      <c r="D35" s="39">
        <v>17</v>
      </c>
      <c r="E35" s="39">
        <v>17</v>
      </c>
      <c r="F35" s="39">
        <v>19</v>
      </c>
      <c r="G35" s="39">
        <v>63</v>
      </c>
      <c r="H35" s="39">
        <v>45</v>
      </c>
      <c r="I35" s="39">
        <v>43</v>
      </c>
      <c r="J35" s="39">
        <v>31</v>
      </c>
      <c r="K35" s="39" t="s">
        <v>166</v>
      </c>
      <c r="L35" s="39">
        <v>23</v>
      </c>
    </row>
    <row r="36" spans="1:12" ht="14.5" x14ac:dyDescent="0.35">
      <c r="A36" s="38" t="s">
        <v>534</v>
      </c>
      <c r="B36" s="38" t="s">
        <v>346</v>
      </c>
      <c r="C36" s="38" t="s">
        <v>539</v>
      </c>
      <c r="D36" s="39">
        <v>18</v>
      </c>
      <c r="E36" s="39">
        <v>23</v>
      </c>
      <c r="F36" s="39">
        <v>24</v>
      </c>
      <c r="G36" s="39">
        <v>56</v>
      </c>
      <c r="H36" s="39">
        <v>43.5</v>
      </c>
      <c r="I36" s="39">
        <v>42</v>
      </c>
      <c r="J36" s="39">
        <v>35</v>
      </c>
      <c r="K36" s="39" t="s">
        <v>166</v>
      </c>
      <c r="L36" s="39">
        <v>26</v>
      </c>
    </row>
    <row r="37" spans="1:12" ht="14.5" x14ac:dyDescent="0.35">
      <c r="A37" s="38" t="s">
        <v>534</v>
      </c>
      <c r="B37" s="38" t="s">
        <v>347</v>
      </c>
      <c r="C37" s="38" t="s">
        <v>539</v>
      </c>
      <c r="D37" s="39">
        <v>11</v>
      </c>
      <c r="E37" s="39">
        <v>22</v>
      </c>
      <c r="F37" s="39">
        <v>14</v>
      </c>
      <c r="G37" s="39">
        <v>36</v>
      </c>
      <c r="H37" s="39">
        <v>35</v>
      </c>
      <c r="I37" s="39" t="s">
        <v>166</v>
      </c>
      <c r="J37" s="39" t="s">
        <v>166</v>
      </c>
      <c r="K37" s="39" t="s">
        <v>166</v>
      </c>
      <c r="L37" s="39">
        <v>16</v>
      </c>
    </row>
    <row r="38" spans="1:12" ht="15" thickBot="1" x14ac:dyDescent="0.4">
      <c r="A38" s="59" t="s">
        <v>534</v>
      </c>
      <c r="B38" s="54" t="s">
        <v>1297</v>
      </c>
      <c r="C38" s="59" t="s">
        <v>539</v>
      </c>
      <c r="D38" s="64">
        <v>12</v>
      </c>
      <c r="E38" s="64">
        <v>11</v>
      </c>
      <c r="F38" s="64">
        <v>11</v>
      </c>
      <c r="G38" s="64">
        <v>36</v>
      </c>
      <c r="H38" s="64">
        <v>31</v>
      </c>
      <c r="I38" s="64">
        <v>26</v>
      </c>
      <c r="J38" s="64">
        <v>23</v>
      </c>
      <c r="K38" s="64">
        <v>40</v>
      </c>
      <c r="L38" s="64">
        <v>16</v>
      </c>
    </row>
    <row r="39" spans="1:12" ht="14.5" x14ac:dyDescent="0.35">
      <c r="A39" s="100" t="s">
        <v>540</v>
      </c>
      <c r="B39" s="99"/>
      <c r="C39" s="99"/>
      <c r="D39" s="99"/>
      <c r="E39" s="99"/>
      <c r="F39" s="99"/>
      <c r="G39" s="99"/>
      <c r="H39" s="99"/>
      <c r="I39" s="99"/>
      <c r="J39" s="99"/>
      <c r="K39" s="99"/>
      <c r="L39" s="99"/>
    </row>
    <row r="40" spans="1:12" ht="14.5" x14ac:dyDescent="0.35">
      <c r="A40" s="100" t="s">
        <v>541</v>
      </c>
      <c r="B40" s="99"/>
      <c r="C40" s="99"/>
      <c r="D40" s="99"/>
      <c r="E40" s="99"/>
      <c r="F40" s="99"/>
      <c r="G40" s="99"/>
      <c r="H40" s="99"/>
      <c r="I40" s="99"/>
      <c r="J40" s="99"/>
      <c r="K40" s="99"/>
      <c r="L40" s="99"/>
    </row>
    <row r="41" spans="1:12" ht="21.5" customHeight="1" x14ac:dyDescent="0.35">
      <c r="A41" s="100" t="s">
        <v>542</v>
      </c>
      <c r="B41" s="99"/>
      <c r="C41" s="99"/>
      <c r="D41" s="99"/>
      <c r="E41" s="99"/>
      <c r="F41" s="99"/>
      <c r="G41" s="99"/>
      <c r="H41" s="99"/>
      <c r="I41" s="99"/>
      <c r="J41" s="99"/>
      <c r="K41" s="99"/>
      <c r="L41" s="99"/>
    </row>
    <row r="42" spans="1:12" ht="14.5" x14ac:dyDescent="0.35">
      <c r="A42" s="100" t="s">
        <v>543</v>
      </c>
      <c r="B42" s="99"/>
      <c r="C42" s="99"/>
      <c r="D42" s="99"/>
      <c r="E42" s="99"/>
      <c r="F42" s="99"/>
      <c r="G42" s="99"/>
      <c r="H42" s="99"/>
      <c r="I42" s="99"/>
      <c r="J42" s="99"/>
      <c r="K42" s="99"/>
      <c r="L42" s="99"/>
    </row>
    <row r="43" spans="1:12" ht="14.5" x14ac:dyDescent="0.35">
      <c r="A43" s="100" t="s">
        <v>544</v>
      </c>
      <c r="B43" s="99"/>
      <c r="C43" s="99"/>
      <c r="D43" s="99"/>
      <c r="E43" s="99"/>
      <c r="F43" s="99"/>
      <c r="G43" s="99"/>
      <c r="H43" s="99"/>
      <c r="I43" s="99"/>
      <c r="J43" s="99"/>
      <c r="K43" s="99"/>
      <c r="L43" s="99"/>
    </row>
    <row r="44" spans="1:12" ht="14.5" x14ac:dyDescent="0.35">
      <c r="A44" s="44"/>
      <c r="B44" s="35"/>
      <c r="C44" s="35"/>
      <c r="D44" s="35"/>
      <c r="E44" s="35"/>
      <c r="F44" s="35"/>
      <c r="G44" s="35"/>
      <c r="H44" s="35"/>
      <c r="I44" s="35"/>
      <c r="J44" s="35"/>
      <c r="K44" s="35"/>
      <c r="L44" s="35"/>
    </row>
    <row r="45" spans="1:12" ht="14.5" x14ac:dyDescent="0.35">
      <c r="A45" s="35" t="s">
        <v>290</v>
      </c>
      <c r="B45" s="35"/>
      <c r="C45" s="35"/>
      <c r="D45" s="35"/>
      <c r="E45" s="35"/>
      <c r="F45" s="35"/>
      <c r="G45" s="35"/>
      <c r="H45" s="35"/>
      <c r="I45" s="35"/>
      <c r="J45" s="35"/>
      <c r="K45" s="35"/>
      <c r="L45" s="35"/>
    </row>
    <row r="46" spans="1:12" ht="14.5" x14ac:dyDescent="0.35">
      <c r="A46" s="45" t="s">
        <v>291</v>
      </c>
      <c r="B46" s="35"/>
      <c r="C46" s="35"/>
      <c r="D46" s="35"/>
      <c r="E46" s="35"/>
      <c r="F46" s="35"/>
      <c r="G46" s="35"/>
      <c r="H46" s="35"/>
      <c r="I46" s="35"/>
      <c r="J46" s="35"/>
      <c r="K46" s="35"/>
      <c r="L46" s="35"/>
    </row>
    <row r="47" spans="1:12" ht="14.5" x14ac:dyDescent="0.35">
      <c r="A47" s="35"/>
      <c r="B47" s="35"/>
      <c r="C47" s="35"/>
      <c r="D47" s="35"/>
      <c r="E47" s="35"/>
      <c r="F47" s="35"/>
      <c r="G47" s="35"/>
      <c r="H47" s="35"/>
      <c r="I47" s="35"/>
      <c r="J47" s="35"/>
      <c r="K47" s="35"/>
      <c r="L47" s="35"/>
    </row>
    <row r="48" spans="1:12" ht="14.5" x14ac:dyDescent="0.35">
      <c r="A48" s="45" t="s">
        <v>3</v>
      </c>
      <c r="B48" s="35"/>
      <c r="C48" s="35"/>
      <c r="D48" s="35"/>
      <c r="E48" s="35"/>
      <c r="F48" s="35"/>
      <c r="G48" s="35"/>
      <c r="H48" s="35"/>
      <c r="I48" s="35"/>
      <c r="J48" s="35"/>
      <c r="K48" s="35"/>
      <c r="L48" s="35"/>
    </row>
    <row r="49" spans="1:12" ht="14.5" x14ac:dyDescent="0.35">
      <c r="A49" s="35"/>
      <c r="B49" s="35"/>
      <c r="C49" s="35"/>
      <c r="D49" s="35"/>
      <c r="E49" s="35"/>
      <c r="F49" s="35"/>
      <c r="G49" s="35"/>
      <c r="H49" s="35"/>
      <c r="I49" s="35"/>
      <c r="J49" s="35"/>
      <c r="K49" s="35"/>
      <c r="L49" s="35"/>
    </row>
    <row r="50" spans="1:12" ht="14.5" x14ac:dyDescent="0.35">
      <c r="A50" s="45" t="s">
        <v>292</v>
      </c>
      <c r="B50" s="35"/>
      <c r="C50" s="35"/>
      <c r="D50" s="35"/>
      <c r="E50" s="35"/>
      <c r="F50" s="35"/>
      <c r="G50" s="35"/>
      <c r="H50" s="35"/>
      <c r="I50" s="35"/>
      <c r="J50" s="35"/>
      <c r="K50" s="35"/>
      <c r="L50" s="35"/>
    </row>
  </sheetData>
  <mergeCells count="6">
    <mergeCell ref="A42:L42"/>
    <mergeCell ref="A43:L43"/>
    <mergeCell ref="A41:L41"/>
    <mergeCell ref="A1:L1"/>
    <mergeCell ref="A40:L40"/>
    <mergeCell ref="A39:L39"/>
  </mergeCells>
  <hyperlinks>
    <hyperlink ref="A46" r:id="rId1" xr:uid="{00000000-0004-0000-1E00-000000000000}"/>
    <hyperlink ref="A48" location="'Technical specifications'!A1" display="Technical specifications" xr:uid="{00000000-0004-0000-1E00-000001000000}"/>
    <hyperlink ref="A50" location="Contents!A1" display="Back to contents" xr:uid="{00000000-0004-0000-1E00-000002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G40"/>
  <sheetViews>
    <sheetView workbookViewId="0">
      <selection sqref="A1:G1"/>
    </sheetView>
  </sheetViews>
  <sheetFormatPr defaultRowHeight="14.75" customHeight="1" x14ac:dyDescent="0.35"/>
  <cols>
    <col min="1" max="1" width="42" customWidth="1"/>
    <col min="2" max="2" width="15" customWidth="1"/>
    <col min="3" max="7" width="11.1796875" customWidth="1"/>
  </cols>
  <sheetData>
    <row r="1" spans="1:7" ht="33.75" customHeight="1" x14ac:dyDescent="0.35">
      <c r="A1" s="96" t="s">
        <v>545</v>
      </c>
      <c r="B1" s="97"/>
      <c r="C1" s="97"/>
      <c r="D1" s="97"/>
      <c r="E1" s="97"/>
      <c r="F1" s="97"/>
      <c r="G1" s="97"/>
    </row>
    <row r="2" spans="1:7" ht="14.5" x14ac:dyDescent="0.35">
      <c r="A2" s="36" t="s">
        <v>546</v>
      </c>
      <c r="B2" s="36" t="s">
        <v>293</v>
      </c>
      <c r="C2" s="37" t="s">
        <v>277</v>
      </c>
      <c r="D2" s="37" t="s">
        <v>278</v>
      </c>
      <c r="E2" s="37" t="s">
        <v>279</v>
      </c>
      <c r="F2" s="37" t="s">
        <v>280</v>
      </c>
      <c r="G2" s="37" t="s">
        <v>281</v>
      </c>
    </row>
    <row r="3" spans="1:7" ht="14.5" x14ac:dyDescent="0.35">
      <c r="A3" s="65" t="s">
        <v>1298</v>
      </c>
      <c r="B3" s="38" t="s">
        <v>295</v>
      </c>
      <c r="C3" s="40" t="s">
        <v>547</v>
      </c>
      <c r="D3" s="40" t="s">
        <v>548</v>
      </c>
      <c r="E3" s="40" t="s">
        <v>549</v>
      </c>
      <c r="F3" s="40" t="s">
        <v>550</v>
      </c>
      <c r="G3" s="40" t="s">
        <v>551</v>
      </c>
    </row>
    <row r="4" spans="1:7" ht="14.5" x14ac:dyDescent="0.35">
      <c r="A4" s="65" t="s">
        <v>1298</v>
      </c>
      <c r="B4" s="38" t="s">
        <v>297</v>
      </c>
      <c r="C4" s="40" t="s">
        <v>552</v>
      </c>
      <c r="D4" s="40" t="s">
        <v>553</v>
      </c>
      <c r="E4" s="40" t="s">
        <v>554</v>
      </c>
      <c r="F4" s="40" t="s">
        <v>555</v>
      </c>
      <c r="G4" s="40" t="s">
        <v>556</v>
      </c>
    </row>
    <row r="5" spans="1:7" ht="14.5" x14ac:dyDescent="0.35">
      <c r="A5" s="65" t="s">
        <v>1298</v>
      </c>
      <c r="B5" s="38" t="s">
        <v>298</v>
      </c>
      <c r="C5" s="40" t="s">
        <v>557</v>
      </c>
      <c r="D5" s="40" t="s">
        <v>558</v>
      </c>
      <c r="E5" s="40" t="s">
        <v>559</v>
      </c>
      <c r="F5" s="40" t="s">
        <v>560</v>
      </c>
      <c r="G5" s="40" t="s">
        <v>561</v>
      </c>
    </row>
    <row r="6" spans="1:7" ht="14.5" x14ac:dyDescent="0.35">
      <c r="A6" s="65" t="s">
        <v>1298</v>
      </c>
      <c r="B6" s="38" t="s">
        <v>299</v>
      </c>
      <c r="C6" s="40" t="s">
        <v>562</v>
      </c>
      <c r="D6" s="40" t="s">
        <v>563</v>
      </c>
      <c r="E6" s="40" t="s">
        <v>564</v>
      </c>
      <c r="F6" s="40" t="s">
        <v>565</v>
      </c>
      <c r="G6" s="40" t="s">
        <v>566</v>
      </c>
    </row>
    <row r="7" spans="1:7" ht="14.5" x14ac:dyDescent="0.35">
      <c r="A7" s="65" t="s">
        <v>1298</v>
      </c>
      <c r="B7" s="38" t="s">
        <v>300</v>
      </c>
      <c r="C7" s="40" t="s">
        <v>552</v>
      </c>
      <c r="D7" s="40" t="s">
        <v>567</v>
      </c>
      <c r="E7" s="40" t="s">
        <v>568</v>
      </c>
      <c r="F7" s="40" t="s">
        <v>569</v>
      </c>
      <c r="G7" s="40" t="s">
        <v>570</v>
      </c>
    </row>
    <row r="8" spans="1:7" ht="14.5" x14ac:dyDescent="0.35">
      <c r="A8" s="65" t="s">
        <v>1298</v>
      </c>
      <c r="B8" s="38" t="s">
        <v>301</v>
      </c>
      <c r="C8" s="40" t="s">
        <v>571</v>
      </c>
      <c r="D8" s="40" t="s">
        <v>572</v>
      </c>
      <c r="E8" s="40" t="s">
        <v>573</v>
      </c>
      <c r="F8" s="40" t="s">
        <v>574</v>
      </c>
      <c r="G8" s="40" t="s">
        <v>575</v>
      </c>
    </row>
    <row r="9" spans="1:7" ht="14.5" x14ac:dyDescent="0.35">
      <c r="A9" s="65" t="s">
        <v>1298</v>
      </c>
      <c r="B9" s="38" t="s">
        <v>302</v>
      </c>
      <c r="C9" s="40" t="s">
        <v>576</v>
      </c>
      <c r="D9" s="40" t="s">
        <v>577</v>
      </c>
      <c r="E9" s="40" t="s">
        <v>578</v>
      </c>
      <c r="F9" s="40" t="s">
        <v>579</v>
      </c>
      <c r="G9" s="40" t="s">
        <v>580</v>
      </c>
    </row>
    <row r="10" spans="1:7" ht="14.5" x14ac:dyDescent="0.35">
      <c r="A10" s="65" t="s">
        <v>1298</v>
      </c>
      <c r="B10" s="38" t="s">
        <v>303</v>
      </c>
      <c r="C10" s="40" t="s">
        <v>581</v>
      </c>
      <c r="D10" s="40" t="s">
        <v>582</v>
      </c>
      <c r="E10" s="40" t="s">
        <v>583</v>
      </c>
      <c r="F10" s="40" t="s">
        <v>584</v>
      </c>
      <c r="G10" s="40" t="s">
        <v>560</v>
      </c>
    </row>
    <row r="11" spans="1:7" ht="14.5" x14ac:dyDescent="0.35">
      <c r="A11" s="65" t="s">
        <v>1298</v>
      </c>
      <c r="B11" s="38" t="s">
        <v>304</v>
      </c>
      <c r="C11" s="40" t="s">
        <v>585</v>
      </c>
      <c r="D11" s="40" t="s">
        <v>586</v>
      </c>
      <c r="E11" s="40" t="s">
        <v>587</v>
      </c>
      <c r="F11" s="40" t="s">
        <v>588</v>
      </c>
      <c r="G11" s="40" t="s">
        <v>589</v>
      </c>
    </row>
    <row r="12" spans="1:7" ht="14.5" x14ac:dyDescent="0.35">
      <c r="A12" s="65" t="s">
        <v>1299</v>
      </c>
      <c r="B12" s="38" t="s">
        <v>295</v>
      </c>
      <c r="C12" s="40" t="s">
        <v>590</v>
      </c>
      <c r="D12" s="40" t="s">
        <v>591</v>
      </c>
      <c r="E12" s="40" t="s">
        <v>592</v>
      </c>
      <c r="F12" s="40" t="s">
        <v>593</v>
      </c>
      <c r="G12" s="40" t="s">
        <v>594</v>
      </c>
    </row>
    <row r="13" spans="1:7" ht="14.5" x14ac:dyDescent="0.35">
      <c r="A13" s="65" t="s">
        <v>1299</v>
      </c>
      <c r="B13" s="38" t="s">
        <v>297</v>
      </c>
      <c r="C13" s="40" t="s">
        <v>595</v>
      </c>
      <c r="D13" s="40" t="s">
        <v>596</v>
      </c>
      <c r="E13" s="40" t="s">
        <v>597</v>
      </c>
      <c r="F13" s="40" t="s">
        <v>598</v>
      </c>
      <c r="G13" s="40" t="s">
        <v>599</v>
      </c>
    </row>
    <row r="14" spans="1:7" ht="14.5" x14ac:dyDescent="0.35">
      <c r="A14" s="65" t="s">
        <v>1299</v>
      </c>
      <c r="B14" s="38" t="s">
        <v>298</v>
      </c>
      <c r="C14" s="40" t="s">
        <v>600</v>
      </c>
      <c r="D14" s="40" t="s">
        <v>601</v>
      </c>
      <c r="E14" s="40" t="s">
        <v>602</v>
      </c>
      <c r="F14" s="40" t="s">
        <v>603</v>
      </c>
      <c r="G14" s="40" t="s">
        <v>604</v>
      </c>
    </row>
    <row r="15" spans="1:7" ht="14.5" x14ac:dyDescent="0.35">
      <c r="A15" s="65" t="s">
        <v>1299</v>
      </c>
      <c r="B15" s="38" t="s">
        <v>299</v>
      </c>
      <c r="C15" s="40" t="s">
        <v>590</v>
      </c>
      <c r="D15" s="40" t="s">
        <v>605</v>
      </c>
      <c r="E15" s="40" t="s">
        <v>606</v>
      </c>
      <c r="F15" s="40" t="s">
        <v>607</v>
      </c>
      <c r="G15" s="40" t="s">
        <v>608</v>
      </c>
    </row>
    <row r="16" spans="1:7" ht="14.5" x14ac:dyDescent="0.35">
      <c r="A16" s="65" t="s">
        <v>1299</v>
      </c>
      <c r="B16" s="38" t="s">
        <v>300</v>
      </c>
      <c r="C16" s="40" t="s">
        <v>609</v>
      </c>
      <c r="D16" s="40" t="s">
        <v>602</v>
      </c>
      <c r="E16" s="40" t="s">
        <v>610</v>
      </c>
      <c r="F16" s="40" t="s">
        <v>611</v>
      </c>
      <c r="G16" s="40" t="s">
        <v>612</v>
      </c>
    </row>
    <row r="17" spans="1:7" ht="14.5" x14ac:dyDescent="0.35">
      <c r="A17" s="65" t="s">
        <v>1299</v>
      </c>
      <c r="B17" s="38" t="s">
        <v>301</v>
      </c>
      <c r="C17" s="40" t="s">
        <v>613</v>
      </c>
      <c r="D17" s="40" t="s">
        <v>614</v>
      </c>
      <c r="E17" s="40" t="s">
        <v>615</v>
      </c>
      <c r="F17" s="40" t="s">
        <v>616</v>
      </c>
      <c r="G17" s="40" t="s">
        <v>617</v>
      </c>
    </row>
    <row r="18" spans="1:7" ht="14.5" x14ac:dyDescent="0.35">
      <c r="A18" s="65" t="s">
        <v>1299</v>
      </c>
      <c r="B18" s="38" t="s">
        <v>302</v>
      </c>
      <c r="C18" s="40" t="s">
        <v>618</v>
      </c>
      <c r="D18" s="40" t="s">
        <v>619</v>
      </c>
      <c r="E18" s="40" t="s">
        <v>620</v>
      </c>
      <c r="F18" s="40" t="s">
        <v>621</v>
      </c>
      <c r="G18" s="40" t="s">
        <v>622</v>
      </c>
    </row>
    <row r="19" spans="1:7" ht="14.5" x14ac:dyDescent="0.35">
      <c r="A19" s="65" t="s">
        <v>1299</v>
      </c>
      <c r="B19" s="38" t="s">
        <v>303</v>
      </c>
      <c r="C19" s="40" t="s">
        <v>623</v>
      </c>
      <c r="D19" s="40" t="s">
        <v>624</v>
      </c>
      <c r="E19" s="40" t="s">
        <v>625</v>
      </c>
      <c r="F19" s="40" t="s">
        <v>626</v>
      </c>
      <c r="G19" s="40" t="s">
        <v>627</v>
      </c>
    </row>
    <row r="20" spans="1:7" ht="14.5" x14ac:dyDescent="0.35">
      <c r="A20" s="65" t="s">
        <v>1299</v>
      </c>
      <c r="B20" s="38" t="s">
        <v>304</v>
      </c>
      <c r="C20" s="40" t="s">
        <v>628</v>
      </c>
      <c r="D20" s="40" t="s">
        <v>629</v>
      </c>
      <c r="E20" s="40" t="s">
        <v>619</v>
      </c>
      <c r="F20" s="40" t="s">
        <v>630</v>
      </c>
      <c r="G20" s="40" t="s">
        <v>598</v>
      </c>
    </row>
    <row r="21" spans="1:7" ht="14.5" x14ac:dyDescent="0.35">
      <c r="A21" s="38" t="s">
        <v>430</v>
      </c>
      <c r="B21" s="38" t="s">
        <v>295</v>
      </c>
      <c r="C21" s="40" t="s">
        <v>631</v>
      </c>
      <c r="D21" s="40" t="s">
        <v>632</v>
      </c>
      <c r="E21" s="40" t="s">
        <v>633</v>
      </c>
      <c r="F21" s="40" t="s">
        <v>634</v>
      </c>
      <c r="G21" s="40" t="s">
        <v>635</v>
      </c>
    </row>
    <row r="22" spans="1:7" ht="14.5" x14ac:dyDescent="0.35">
      <c r="A22" s="38" t="s">
        <v>430</v>
      </c>
      <c r="B22" s="38" t="s">
        <v>297</v>
      </c>
      <c r="C22" s="40" t="s">
        <v>636</v>
      </c>
      <c r="D22" s="40" t="s">
        <v>637</v>
      </c>
      <c r="E22" s="40" t="s">
        <v>638</v>
      </c>
      <c r="F22" s="40" t="s">
        <v>639</v>
      </c>
      <c r="G22" s="40" t="s">
        <v>640</v>
      </c>
    </row>
    <row r="23" spans="1:7" ht="14.5" x14ac:dyDescent="0.35">
      <c r="A23" s="38" t="s">
        <v>430</v>
      </c>
      <c r="B23" s="38" t="s">
        <v>298</v>
      </c>
      <c r="C23" s="40" t="s">
        <v>641</v>
      </c>
      <c r="D23" s="40" t="s">
        <v>642</v>
      </c>
      <c r="E23" s="40" t="s">
        <v>643</v>
      </c>
      <c r="F23" s="40" t="s">
        <v>637</v>
      </c>
      <c r="G23" s="40" t="s">
        <v>644</v>
      </c>
    </row>
    <row r="24" spans="1:7" ht="14.5" x14ac:dyDescent="0.35">
      <c r="A24" s="38" t="s">
        <v>430</v>
      </c>
      <c r="B24" s="38" t="s">
        <v>299</v>
      </c>
      <c r="C24" s="40" t="s">
        <v>645</v>
      </c>
      <c r="D24" s="40" t="s">
        <v>646</v>
      </c>
      <c r="E24" s="40" t="s">
        <v>647</v>
      </c>
      <c r="F24" s="40" t="s">
        <v>648</v>
      </c>
      <c r="G24" s="40" t="s">
        <v>649</v>
      </c>
    </row>
    <row r="25" spans="1:7" ht="14.5" x14ac:dyDescent="0.35">
      <c r="A25" s="38" t="s">
        <v>430</v>
      </c>
      <c r="B25" s="38" t="s">
        <v>300</v>
      </c>
      <c r="C25" s="40" t="s">
        <v>611</v>
      </c>
      <c r="D25" s="40" t="s">
        <v>650</v>
      </c>
      <c r="E25" s="40" t="s">
        <v>651</v>
      </c>
      <c r="F25" s="40" t="s">
        <v>652</v>
      </c>
      <c r="G25" s="40" t="s">
        <v>653</v>
      </c>
    </row>
    <row r="26" spans="1:7" ht="14.5" x14ac:dyDescent="0.35">
      <c r="A26" s="38" t="s">
        <v>430</v>
      </c>
      <c r="B26" s="38" t="s">
        <v>301</v>
      </c>
      <c r="C26" s="40" t="s">
        <v>654</v>
      </c>
      <c r="D26" s="40" t="s">
        <v>655</v>
      </c>
      <c r="E26" s="40" t="s">
        <v>656</v>
      </c>
      <c r="F26" s="40" t="s">
        <v>657</v>
      </c>
      <c r="G26" s="40" t="s">
        <v>658</v>
      </c>
    </row>
    <row r="27" spans="1:7" ht="14.5" x14ac:dyDescent="0.35">
      <c r="A27" s="38" t="s">
        <v>430</v>
      </c>
      <c r="B27" s="38" t="s">
        <v>302</v>
      </c>
      <c r="C27" s="40" t="s">
        <v>659</v>
      </c>
      <c r="D27" s="40" t="s">
        <v>660</v>
      </c>
      <c r="E27" s="40" t="s">
        <v>661</v>
      </c>
      <c r="F27" s="40" t="s">
        <v>617</v>
      </c>
      <c r="G27" s="40" t="s">
        <v>662</v>
      </c>
    </row>
    <row r="28" spans="1:7" ht="14.5" x14ac:dyDescent="0.35">
      <c r="A28" s="38" t="s">
        <v>430</v>
      </c>
      <c r="B28" s="38" t="s">
        <v>303</v>
      </c>
      <c r="C28" s="40" t="s">
        <v>663</v>
      </c>
      <c r="D28" s="40" t="s">
        <v>579</v>
      </c>
      <c r="E28" s="40" t="s">
        <v>647</v>
      </c>
      <c r="F28" s="40" t="s">
        <v>664</v>
      </c>
      <c r="G28" s="40" t="s">
        <v>665</v>
      </c>
    </row>
    <row r="29" spans="1:7" ht="14.5" x14ac:dyDescent="0.35">
      <c r="A29" s="49" t="s">
        <v>430</v>
      </c>
      <c r="B29" s="49" t="s">
        <v>304</v>
      </c>
      <c r="C29" s="51" t="s">
        <v>666</v>
      </c>
      <c r="D29" s="51" t="s">
        <v>667</v>
      </c>
      <c r="E29" s="51" t="s">
        <v>665</v>
      </c>
      <c r="F29" s="51" t="s">
        <v>668</v>
      </c>
      <c r="G29" s="51" t="s">
        <v>669</v>
      </c>
    </row>
    <row r="30" spans="1:7" ht="14.5" x14ac:dyDescent="0.35">
      <c r="A30" s="100" t="s">
        <v>670</v>
      </c>
      <c r="B30" s="99"/>
      <c r="C30" s="99"/>
      <c r="D30" s="99"/>
      <c r="E30" s="99"/>
      <c r="F30" s="99"/>
      <c r="G30" s="99"/>
    </row>
    <row r="31" spans="1:7" ht="14.5" x14ac:dyDescent="0.35">
      <c r="A31" s="100" t="s">
        <v>671</v>
      </c>
      <c r="B31" s="99"/>
      <c r="C31" s="99"/>
      <c r="D31" s="99"/>
      <c r="E31" s="99"/>
      <c r="F31" s="99"/>
      <c r="G31" s="99"/>
    </row>
    <row r="32" spans="1:7" ht="19.5" customHeight="1" x14ac:dyDescent="0.35">
      <c r="A32" s="100" t="s">
        <v>672</v>
      </c>
      <c r="B32" s="99"/>
      <c r="C32" s="99"/>
      <c r="D32" s="99"/>
      <c r="E32" s="99"/>
      <c r="F32" s="99"/>
      <c r="G32" s="99"/>
    </row>
    <row r="33" spans="1:7" ht="19" customHeight="1" x14ac:dyDescent="0.35">
      <c r="A33" s="100" t="s">
        <v>673</v>
      </c>
      <c r="B33" s="99"/>
      <c r="C33" s="99"/>
      <c r="D33" s="99"/>
      <c r="E33" s="99"/>
      <c r="F33" s="99"/>
      <c r="G33" s="99"/>
    </row>
    <row r="34" spans="1:7" ht="14.5" x14ac:dyDescent="0.35">
      <c r="A34" s="44"/>
      <c r="B34" s="35"/>
      <c r="C34" s="35"/>
      <c r="D34" s="35"/>
      <c r="E34" s="35"/>
      <c r="F34" s="35"/>
      <c r="G34" s="35"/>
    </row>
    <row r="35" spans="1:7" ht="14.5" x14ac:dyDescent="0.35">
      <c r="A35" s="35" t="s">
        <v>290</v>
      </c>
      <c r="B35" s="35"/>
      <c r="C35" s="35"/>
      <c r="D35" s="35"/>
      <c r="E35" s="35"/>
      <c r="F35" s="35"/>
      <c r="G35" s="35"/>
    </row>
    <row r="36" spans="1:7" ht="14.5" x14ac:dyDescent="0.35">
      <c r="A36" s="45" t="s">
        <v>291</v>
      </c>
      <c r="B36" s="35"/>
      <c r="C36" s="35"/>
      <c r="D36" s="35"/>
      <c r="E36" s="35"/>
      <c r="F36" s="35"/>
      <c r="G36" s="35"/>
    </row>
    <row r="37" spans="1:7" ht="14.5" x14ac:dyDescent="0.35">
      <c r="A37" s="35"/>
      <c r="B37" s="35"/>
      <c r="C37" s="35"/>
      <c r="D37" s="35"/>
      <c r="E37" s="35"/>
      <c r="F37" s="35"/>
      <c r="G37" s="35"/>
    </row>
    <row r="38" spans="1:7" ht="14.5" x14ac:dyDescent="0.35">
      <c r="A38" s="45" t="s">
        <v>3</v>
      </c>
      <c r="B38" s="35"/>
      <c r="C38" s="35"/>
      <c r="D38" s="35"/>
      <c r="E38" s="35"/>
      <c r="F38" s="35"/>
      <c r="G38" s="35"/>
    </row>
    <row r="39" spans="1:7" ht="14.5" x14ac:dyDescent="0.35">
      <c r="A39" s="35"/>
      <c r="B39" s="35"/>
      <c r="C39" s="35"/>
      <c r="D39" s="35"/>
      <c r="E39" s="35"/>
      <c r="F39" s="35"/>
      <c r="G39" s="35"/>
    </row>
    <row r="40" spans="1:7" ht="14.5" x14ac:dyDescent="0.35">
      <c r="A40" s="45" t="s">
        <v>292</v>
      </c>
      <c r="B40" s="35"/>
      <c r="C40" s="35"/>
      <c r="D40" s="35"/>
      <c r="E40" s="35"/>
      <c r="F40" s="35"/>
      <c r="G40" s="35"/>
    </row>
  </sheetData>
  <mergeCells count="5">
    <mergeCell ref="A32:G32"/>
    <mergeCell ref="A1:G1"/>
    <mergeCell ref="A31:G31"/>
    <mergeCell ref="A30:G30"/>
    <mergeCell ref="A33:G33"/>
  </mergeCells>
  <hyperlinks>
    <hyperlink ref="A36" r:id="rId1" xr:uid="{00000000-0004-0000-1F00-000000000000}"/>
    <hyperlink ref="A38" location="'Technical specifications'!A1" display="Technical specifications" xr:uid="{00000000-0004-0000-1F00-000001000000}"/>
    <hyperlink ref="A40" location="Contents!A1" display="Back to contents" xr:uid="{00000000-0004-0000-1F00-000002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32"/>
  <sheetViews>
    <sheetView workbookViewId="0">
      <selection sqref="A1:K1"/>
    </sheetView>
  </sheetViews>
  <sheetFormatPr defaultRowHeight="14.75" customHeight="1" x14ac:dyDescent="0.35"/>
  <cols>
    <col min="1" max="1" width="42" customWidth="1"/>
    <col min="2" max="2" width="15" customWidth="1"/>
    <col min="3" max="11" width="8.453125" customWidth="1"/>
  </cols>
  <sheetData>
    <row r="1" spans="1:11" ht="33.75" customHeight="1" x14ac:dyDescent="0.35">
      <c r="A1" s="96" t="s">
        <v>674</v>
      </c>
      <c r="B1" s="97"/>
      <c r="C1" s="97"/>
      <c r="D1" s="97"/>
      <c r="E1" s="97"/>
      <c r="F1" s="97"/>
      <c r="G1" s="97"/>
      <c r="H1" s="97"/>
      <c r="I1" s="97"/>
      <c r="J1" s="97"/>
      <c r="K1" s="97"/>
    </row>
    <row r="2" spans="1:11" ht="14.5" x14ac:dyDescent="0.35">
      <c r="A2" s="36" t="s">
        <v>546</v>
      </c>
      <c r="B2" s="36" t="s">
        <v>337</v>
      </c>
      <c r="C2" s="37" t="s">
        <v>295</v>
      </c>
      <c r="D2" s="37" t="s">
        <v>297</v>
      </c>
      <c r="E2" s="37" t="s">
        <v>298</v>
      </c>
      <c r="F2" s="37" t="s">
        <v>299</v>
      </c>
      <c r="G2" s="37" t="s">
        <v>300</v>
      </c>
      <c r="H2" s="37" t="s">
        <v>301</v>
      </c>
      <c r="I2" s="37" t="s">
        <v>302</v>
      </c>
      <c r="J2" s="37" t="s">
        <v>303</v>
      </c>
      <c r="K2" s="37" t="s">
        <v>304</v>
      </c>
    </row>
    <row r="3" spans="1:11" ht="14.5" x14ac:dyDescent="0.35">
      <c r="A3" s="65" t="s">
        <v>1298</v>
      </c>
      <c r="B3" s="38" t="s">
        <v>343</v>
      </c>
      <c r="C3" s="40" t="s">
        <v>675</v>
      </c>
      <c r="D3" s="40" t="s">
        <v>676</v>
      </c>
      <c r="E3" s="40" t="s">
        <v>677</v>
      </c>
      <c r="F3" s="40" t="s">
        <v>678</v>
      </c>
      <c r="G3" s="40" t="s">
        <v>679</v>
      </c>
      <c r="H3" s="40" t="s">
        <v>680</v>
      </c>
      <c r="I3" s="40" t="s">
        <v>681</v>
      </c>
      <c r="J3" s="40" t="s">
        <v>682</v>
      </c>
      <c r="K3" s="40" t="s">
        <v>683</v>
      </c>
    </row>
    <row r="4" spans="1:11" ht="14.5" x14ac:dyDescent="0.35">
      <c r="A4" s="65" t="s">
        <v>1298</v>
      </c>
      <c r="B4" s="38" t="s">
        <v>344</v>
      </c>
      <c r="C4" s="40" t="s">
        <v>684</v>
      </c>
      <c r="D4" s="40" t="s">
        <v>685</v>
      </c>
      <c r="E4" s="40" t="s">
        <v>686</v>
      </c>
      <c r="F4" s="40" t="s">
        <v>687</v>
      </c>
      <c r="G4" s="40" t="s">
        <v>688</v>
      </c>
      <c r="H4" s="40" t="s">
        <v>689</v>
      </c>
      <c r="I4" s="40" t="s">
        <v>690</v>
      </c>
      <c r="J4" s="40" t="s">
        <v>691</v>
      </c>
      <c r="K4" s="40" t="s">
        <v>692</v>
      </c>
    </row>
    <row r="5" spans="1:11" ht="14.5" x14ac:dyDescent="0.35">
      <c r="A5" s="65" t="s">
        <v>1298</v>
      </c>
      <c r="B5" s="38" t="s">
        <v>345</v>
      </c>
      <c r="C5" s="40" t="s">
        <v>693</v>
      </c>
      <c r="D5" s="40" t="s">
        <v>694</v>
      </c>
      <c r="E5" s="40" t="s">
        <v>548</v>
      </c>
      <c r="F5" s="40" t="s">
        <v>695</v>
      </c>
      <c r="G5" s="40" t="s">
        <v>696</v>
      </c>
      <c r="H5" s="40" t="s">
        <v>697</v>
      </c>
      <c r="I5" s="40" t="s">
        <v>698</v>
      </c>
      <c r="J5" s="40" t="s">
        <v>560</v>
      </c>
      <c r="K5" s="40" t="s">
        <v>699</v>
      </c>
    </row>
    <row r="6" spans="1:11" ht="14.5" x14ac:dyDescent="0.35">
      <c r="A6" s="65" t="s">
        <v>1298</v>
      </c>
      <c r="B6" s="38" t="s">
        <v>346</v>
      </c>
      <c r="C6" s="40" t="s">
        <v>700</v>
      </c>
      <c r="D6" s="40" t="s">
        <v>701</v>
      </c>
      <c r="E6" s="40" t="s">
        <v>702</v>
      </c>
      <c r="F6" s="40" t="s">
        <v>703</v>
      </c>
      <c r="G6" s="40" t="s">
        <v>704</v>
      </c>
      <c r="H6" s="40" t="s">
        <v>705</v>
      </c>
      <c r="I6" s="40" t="s">
        <v>706</v>
      </c>
      <c r="J6" s="40" t="s">
        <v>707</v>
      </c>
      <c r="K6" s="40" t="s">
        <v>708</v>
      </c>
    </row>
    <row r="7" spans="1:11" ht="14.5" x14ac:dyDescent="0.35">
      <c r="A7" s="65" t="s">
        <v>1298</v>
      </c>
      <c r="B7" s="38" t="s">
        <v>347</v>
      </c>
      <c r="C7" s="40" t="s">
        <v>709</v>
      </c>
      <c r="D7" s="40" t="s">
        <v>562</v>
      </c>
      <c r="E7" s="40" t="s">
        <v>710</v>
      </c>
      <c r="F7" s="40" t="s">
        <v>711</v>
      </c>
      <c r="G7" s="40" t="s">
        <v>712</v>
      </c>
      <c r="H7" s="40" t="s">
        <v>713</v>
      </c>
      <c r="I7" s="40" t="s">
        <v>714</v>
      </c>
      <c r="J7" s="40" t="s">
        <v>715</v>
      </c>
      <c r="K7" s="40" t="s">
        <v>716</v>
      </c>
    </row>
    <row r="8" spans="1:11" ht="14.5" x14ac:dyDescent="0.35">
      <c r="A8" s="68" t="s">
        <v>1300</v>
      </c>
      <c r="B8" s="60" t="s">
        <v>1302</v>
      </c>
      <c r="C8" s="66" t="s">
        <v>551</v>
      </c>
      <c r="D8" s="66" t="s">
        <v>556</v>
      </c>
      <c r="E8" s="66" t="s">
        <v>561</v>
      </c>
      <c r="F8" s="66" t="s">
        <v>566</v>
      </c>
      <c r="G8" s="66" t="s">
        <v>570</v>
      </c>
      <c r="H8" s="66" t="s">
        <v>575</v>
      </c>
      <c r="I8" s="66" t="s">
        <v>580</v>
      </c>
      <c r="J8" s="66" t="s">
        <v>560</v>
      </c>
      <c r="K8" s="66" t="s">
        <v>589</v>
      </c>
    </row>
    <row r="9" spans="1:11" ht="14.5" x14ac:dyDescent="0.35">
      <c r="A9" s="65" t="s">
        <v>1299</v>
      </c>
      <c r="B9" s="38" t="s">
        <v>343</v>
      </c>
      <c r="C9" s="40" t="s">
        <v>717</v>
      </c>
      <c r="D9" s="40" t="s">
        <v>718</v>
      </c>
      <c r="E9" s="40" t="s">
        <v>719</v>
      </c>
      <c r="F9" s="40" t="s">
        <v>583</v>
      </c>
      <c r="G9" s="40" t="s">
        <v>720</v>
      </c>
      <c r="H9" s="40" t="s">
        <v>721</v>
      </c>
      <c r="I9" s="40" t="s">
        <v>652</v>
      </c>
      <c r="J9" s="40" t="s">
        <v>722</v>
      </c>
      <c r="K9" s="40" t="s">
        <v>723</v>
      </c>
    </row>
    <row r="10" spans="1:11" ht="14.5" x14ac:dyDescent="0.35">
      <c r="A10" s="65" t="s">
        <v>1299</v>
      </c>
      <c r="B10" s="38" t="s">
        <v>344</v>
      </c>
      <c r="C10" s="40" t="s">
        <v>724</v>
      </c>
      <c r="D10" s="40" t="s">
        <v>722</v>
      </c>
      <c r="E10" s="40" t="s">
        <v>725</v>
      </c>
      <c r="F10" s="40" t="s">
        <v>726</v>
      </c>
      <c r="G10" s="40" t="s">
        <v>727</v>
      </c>
      <c r="H10" s="40" t="s">
        <v>728</v>
      </c>
      <c r="I10" s="40" t="s">
        <v>729</v>
      </c>
      <c r="J10" s="40" t="s">
        <v>663</v>
      </c>
      <c r="K10" s="40" t="s">
        <v>730</v>
      </c>
    </row>
    <row r="11" spans="1:11" ht="14.5" x14ac:dyDescent="0.35">
      <c r="A11" s="65" t="s">
        <v>1299</v>
      </c>
      <c r="B11" s="38" t="s">
        <v>345</v>
      </c>
      <c r="C11" s="40" t="s">
        <v>731</v>
      </c>
      <c r="D11" s="40" t="s">
        <v>732</v>
      </c>
      <c r="E11" s="40" t="s">
        <v>733</v>
      </c>
      <c r="F11" s="40" t="s">
        <v>648</v>
      </c>
      <c r="G11" s="40" t="s">
        <v>734</v>
      </c>
      <c r="H11" s="40" t="s">
        <v>735</v>
      </c>
      <c r="I11" s="40" t="s">
        <v>736</v>
      </c>
      <c r="J11" s="40" t="s">
        <v>617</v>
      </c>
      <c r="K11" s="40" t="s">
        <v>737</v>
      </c>
    </row>
    <row r="12" spans="1:11" ht="14.5" x14ac:dyDescent="0.35">
      <c r="A12" s="65" t="s">
        <v>1299</v>
      </c>
      <c r="B12" s="38" t="s">
        <v>346</v>
      </c>
      <c r="C12" s="40" t="s">
        <v>738</v>
      </c>
      <c r="D12" s="40" t="s">
        <v>609</v>
      </c>
      <c r="E12" s="40" t="s">
        <v>739</v>
      </c>
      <c r="F12" s="40" t="s">
        <v>629</v>
      </c>
      <c r="G12" s="40" t="s">
        <v>740</v>
      </c>
      <c r="H12" s="40" t="s">
        <v>741</v>
      </c>
      <c r="I12" s="40" t="s">
        <v>590</v>
      </c>
      <c r="J12" s="40" t="s">
        <v>742</v>
      </c>
      <c r="K12" s="40" t="s">
        <v>743</v>
      </c>
    </row>
    <row r="13" spans="1:11" ht="14.5" x14ac:dyDescent="0.35">
      <c r="A13" s="65" t="s">
        <v>1299</v>
      </c>
      <c r="B13" s="38" t="s">
        <v>347</v>
      </c>
      <c r="C13" s="40" t="s">
        <v>744</v>
      </c>
      <c r="D13" s="40" t="s">
        <v>745</v>
      </c>
      <c r="E13" s="40" t="s">
        <v>746</v>
      </c>
      <c r="F13" s="40" t="s">
        <v>747</v>
      </c>
      <c r="G13" s="40" t="s">
        <v>748</v>
      </c>
      <c r="H13" s="40" t="s">
        <v>749</v>
      </c>
      <c r="I13" s="40" t="s">
        <v>750</v>
      </c>
      <c r="J13" s="40" t="s">
        <v>751</v>
      </c>
      <c r="K13" s="40" t="s">
        <v>747</v>
      </c>
    </row>
    <row r="14" spans="1:11" ht="14.5" x14ac:dyDescent="0.35">
      <c r="A14" s="68" t="s">
        <v>1301</v>
      </c>
      <c r="B14" s="60" t="s">
        <v>1302</v>
      </c>
      <c r="C14" s="66" t="s">
        <v>594</v>
      </c>
      <c r="D14" s="66" t="s">
        <v>599</v>
      </c>
      <c r="E14" s="66" t="s">
        <v>604</v>
      </c>
      <c r="F14" s="66" t="s">
        <v>608</v>
      </c>
      <c r="G14" s="66" t="s">
        <v>612</v>
      </c>
      <c r="H14" s="66" t="s">
        <v>617</v>
      </c>
      <c r="I14" s="66" t="s">
        <v>622</v>
      </c>
      <c r="J14" s="66" t="s">
        <v>627</v>
      </c>
      <c r="K14" s="66" t="s">
        <v>598</v>
      </c>
    </row>
    <row r="15" spans="1:11" ht="14.5" x14ac:dyDescent="0.35">
      <c r="A15" s="38" t="s">
        <v>430</v>
      </c>
      <c r="B15" s="38" t="s">
        <v>343</v>
      </c>
      <c r="C15" s="40" t="s">
        <v>752</v>
      </c>
      <c r="D15" s="40" t="s">
        <v>753</v>
      </c>
      <c r="E15" s="40" t="s">
        <v>754</v>
      </c>
      <c r="F15" s="40" t="s">
        <v>755</v>
      </c>
      <c r="G15" s="40" t="s">
        <v>756</v>
      </c>
      <c r="H15" s="40" t="s">
        <v>757</v>
      </c>
      <c r="I15" s="40" t="s">
        <v>758</v>
      </c>
      <c r="J15" s="40" t="s">
        <v>559</v>
      </c>
      <c r="K15" s="40" t="s">
        <v>759</v>
      </c>
    </row>
    <row r="16" spans="1:11" ht="14.5" x14ac:dyDescent="0.35">
      <c r="A16" s="38" t="s">
        <v>430</v>
      </c>
      <c r="B16" s="38" t="s">
        <v>344</v>
      </c>
      <c r="C16" s="40" t="s">
        <v>760</v>
      </c>
      <c r="D16" s="40" t="s">
        <v>761</v>
      </c>
      <c r="E16" s="40" t="s">
        <v>762</v>
      </c>
      <c r="F16" s="40" t="s">
        <v>763</v>
      </c>
      <c r="G16" s="40" t="s">
        <v>764</v>
      </c>
      <c r="H16" s="40" t="s">
        <v>765</v>
      </c>
      <c r="I16" s="40" t="s">
        <v>766</v>
      </c>
      <c r="J16" s="40" t="s">
        <v>767</v>
      </c>
      <c r="K16" s="40" t="s">
        <v>721</v>
      </c>
    </row>
    <row r="17" spans="1:11" ht="14.5" x14ac:dyDescent="0.35">
      <c r="A17" s="38" t="s">
        <v>430</v>
      </c>
      <c r="B17" s="38" t="s">
        <v>345</v>
      </c>
      <c r="C17" s="40" t="s">
        <v>768</v>
      </c>
      <c r="D17" s="40" t="s">
        <v>769</v>
      </c>
      <c r="E17" s="40" t="s">
        <v>770</v>
      </c>
      <c r="F17" s="40" t="s">
        <v>771</v>
      </c>
      <c r="G17" s="40" t="s">
        <v>772</v>
      </c>
      <c r="H17" s="40" t="s">
        <v>773</v>
      </c>
      <c r="I17" s="40" t="s">
        <v>631</v>
      </c>
      <c r="J17" s="40" t="s">
        <v>719</v>
      </c>
      <c r="K17" s="40" t="s">
        <v>774</v>
      </c>
    </row>
    <row r="18" spans="1:11" ht="14.5" x14ac:dyDescent="0.35">
      <c r="A18" s="38" t="s">
        <v>430</v>
      </c>
      <c r="B18" s="38" t="s">
        <v>346</v>
      </c>
      <c r="C18" s="40" t="s">
        <v>775</v>
      </c>
      <c r="D18" s="40" t="s">
        <v>617</v>
      </c>
      <c r="E18" s="40" t="s">
        <v>598</v>
      </c>
      <c r="F18" s="40" t="s">
        <v>776</v>
      </c>
      <c r="G18" s="40" t="s">
        <v>777</v>
      </c>
      <c r="H18" s="40" t="s">
        <v>731</v>
      </c>
      <c r="I18" s="40" t="s">
        <v>778</v>
      </c>
      <c r="J18" s="40" t="s">
        <v>779</v>
      </c>
      <c r="K18" s="40" t="s">
        <v>780</v>
      </c>
    </row>
    <row r="19" spans="1:11" ht="14.5" x14ac:dyDescent="0.35">
      <c r="A19" s="38" t="s">
        <v>430</v>
      </c>
      <c r="B19" s="38" t="s">
        <v>347</v>
      </c>
      <c r="C19" s="40" t="s">
        <v>781</v>
      </c>
      <c r="D19" s="40" t="s">
        <v>751</v>
      </c>
      <c r="E19" s="40" t="s">
        <v>782</v>
      </c>
      <c r="F19" s="40" t="s">
        <v>783</v>
      </c>
      <c r="G19" s="40" t="s">
        <v>784</v>
      </c>
      <c r="H19" s="40" t="s">
        <v>785</v>
      </c>
      <c r="I19" s="40" t="s">
        <v>786</v>
      </c>
      <c r="J19" s="40" t="s">
        <v>787</v>
      </c>
      <c r="K19" s="40" t="s">
        <v>788</v>
      </c>
    </row>
    <row r="20" spans="1:11" ht="15" thickBot="1" x14ac:dyDescent="0.4">
      <c r="A20" s="59" t="s">
        <v>430</v>
      </c>
      <c r="B20" s="54" t="s">
        <v>1302</v>
      </c>
      <c r="C20" s="67" t="s">
        <v>635</v>
      </c>
      <c r="D20" s="67" t="s">
        <v>640</v>
      </c>
      <c r="E20" s="67" t="s">
        <v>644</v>
      </c>
      <c r="F20" s="67" t="s">
        <v>649</v>
      </c>
      <c r="G20" s="67" t="s">
        <v>653</v>
      </c>
      <c r="H20" s="67" t="s">
        <v>658</v>
      </c>
      <c r="I20" s="67" t="s">
        <v>662</v>
      </c>
      <c r="J20" s="67" t="s">
        <v>665</v>
      </c>
      <c r="K20" s="67" t="s">
        <v>669</v>
      </c>
    </row>
    <row r="21" spans="1:11" ht="14.5" x14ac:dyDescent="0.35">
      <c r="A21" s="100" t="s">
        <v>789</v>
      </c>
      <c r="B21" s="99"/>
      <c r="C21" s="99"/>
      <c r="D21" s="99"/>
      <c r="E21" s="99"/>
      <c r="F21" s="99"/>
      <c r="G21" s="99"/>
      <c r="H21" s="99"/>
      <c r="I21" s="99"/>
      <c r="J21" s="99"/>
      <c r="K21" s="99"/>
    </row>
    <row r="22" spans="1:11" ht="14.5" x14ac:dyDescent="0.35">
      <c r="A22" s="100" t="s">
        <v>671</v>
      </c>
      <c r="B22" s="99"/>
      <c r="C22" s="99"/>
      <c r="D22" s="99"/>
      <c r="E22" s="99"/>
      <c r="F22" s="99"/>
      <c r="G22" s="99"/>
      <c r="H22" s="99"/>
      <c r="I22" s="99"/>
      <c r="J22" s="99"/>
      <c r="K22" s="99"/>
    </row>
    <row r="23" spans="1:11" ht="14.5" x14ac:dyDescent="0.35">
      <c r="A23" s="100" t="s">
        <v>672</v>
      </c>
      <c r="B23" s="99"/>
      <c r="C23" s="99"/>
      <c r="D23" s="99"/>
      <c r="E23" s="99"/>
      <c r="F23" s="99"/>
      <c r="G23" s="99"/>
      <c r="H23" s="99"/>
      <c r="I23" s="99"/>
      <c r="J23" s="99"/>
      <c r="K23" s="99"/>
    </row>
    <row r="24" spans="1:11" ht="14.5" x14ac:dyDescent="0.35">
      <c r="A24" s="100" t="s">
        <v>790</v>
      </c>
      <c r="B24" s="99"/>
      <c r="C24" s="99"/>
      <c r="D24" s="99"/>
      <c r="E24" s="99"/>
      <c r="F24" s="99"/>
      <c r="G24" s="99"/>
      <c r="H24" s="99"/>
      <c r="I24" s="99"/>
      <c r="J24" s="99"/>
      <c r="K24" s="99"/>
    </row>
    <row r="25" spans="1:11" ht="14.5" x14ac:dyDescent="0.35">
      <c r="A25" s="100" t="s">
        <v>791</v>
      </c>
      <c r="B25" s="99"/>
      <c r="C25" s="99"/>
      <c r="D25" s="99"/>
      <c r="E25" s="99"/>
      <c r="F25" s="99"/>
      <c r="G25" s="99"/>
      <c r="H25" s="99"/>
      <c r="I25" s="99"/>
      <c r="J25" s="99"/>
      <c r="K25" s="99"/>
    </row>
    <row r="26" spans="1:11" ht="14.5" x14ac:dyDescent="0.35">
      <c r="A26" s="44"/>
      <c r="B26" s="35"/>
      <c r="C26" s="35"/>
      <c r="D26" s="35"/>
      <c r="E26" s="35"/>
      <c r="F26" s="35"/>
      <c r="G26" s="35"/>
      <c r="H26" s="35"/>
      <c r="I26" s="35"/>
      <c r="J26" s="35"/>
      <c r="K26" s="35"/>
    </row>
    <row r="27" spans="1:11" ht="14.5" x14ac:dyDescent="0.35">
      <c r="A27" s="35" t="s">
        <v>290</v>
      </c>
      <c r="B27" s="35"/>
      <c r="C27" s="35"/>
      <c r="D27" s="35"/>
      <c r="E27" s="35"/>
      <c r="F27" s="35"/>
      <c r="G27" s="35"/>
      <c r="H27" s="35"/>
      <c r="I27" s="35"/>
      <c r="J27" s="35"/>
      <c r="K27" s="35"/>
    </row>
    <row r="28" spans="1:11" ht="14.5" x14ac:dyDescent="0.35">
      <c r="A28" s="45" t="s">
        <v>291</v>
      </c>
      <c r="B28" s="35"/>
      <c r="C28" s="35"/>
      <c r="D28" s="35"/>
      <c r="E28" s="35"/>
      <c r="F28" s="35"/>
      <c r="G28" s="35"/>
      <c r="H28" s="35"/>
      <c r="I28" s="35"/>
      <c r="J28" s="35"/>
      <c r="K28" s="35"/>
    </row>
    <row r="29" spans="1:11" ht="14.5" x14ac:dyDescent="0.35">
      <c r="A29" s="35"/>
      <c r="B29" s="35"/>
      <c r="C29" s="35"/>
      <c r="D29" s="35"/>
      <c r="E29" s="35"/>
      <c r="F29" s="35"/>
      <c r="G29" s="35"/>
      <c r="H29" s="35"/>
      <c r="I29" s="35"/>
      <c r="J29" s="35"/>
      <c r="K29" s="35"/>
    </row>
    <row r="30" spans="1:11" ht="14.5" x14ac:dyDescent="0.35">
      <c r="A30" s="45" t="s">
        <v>3</v>
      </c>
      <c r="B30" s="35"/>
      <c r="C30" s="35"/>
      <c r="D30" s="35"/>
      <c r="E30" s="35"/>
      <c r="F30" s="35"/>
      <c r="G30" s="35"/>
      <c r="H30" s="35"/>
      <c r="I30" s="35"/>
      <c r="J30" s="35"/>
      <c r="K30" s="35"/>
    </row>
    <row r="31" spans="1:11" ht="14.5" x14ac:dyDescent="0.35">
      <c r="A31" s="35"/>
      <c r="B31" s="35"/>
      <c r="C31" s="35"/>
      <c r="D31" s="35"/>
      <c r="E31" s="35"/>
      <c r="F31" s="35"/>
      <c r="G31" s="35"/>
      <c r="H31" s="35"/>
      <c r="I31" s="35"/>
      <c r="J31" s="35"/>
      <c r="K31" s="35"/>
    </row>
    <row r="32" spans="1:11" ht="14.5" x14ac:dyDescent="0.35">
      <c r="A32" s="45" t="s">
        <v>292</v>
      </c>
      <c r="B32" s="35"/>
      <c r="C32" s="35"/>
      <c r="D32" s="35"/>
      <c r="E32" s="35"/>
      <c r="F32" s="35"/>
      <c r="G32" s="35"/>
      <c r="H32" s="35"/>
      <c r="I32" s="35"/>
      <c r="J32" s="35"/>
      <c r="K32" s="35"/>
    </row>
  </sheetData>
  <mergeCells count="6">
    <mergeCell ref="A22:K22"/>
    <mergeCell ref="A21:K21"/>
    <mergeCell ref="A25:K25"/>
    <mergeCell ref="A24:K24"/>
    <mergeCell ref="A1:K1"/>
    <mergeCell ref="A23:K23"/>
  </mergeCells>
  <hyperlinks>
    <hyperlink ref="A28" r:id="rId1" xr:uid="{00000000-0004-0000-2000-000000000000}"/>
    <hyperlink ref="A30" location="'Technical specifications'!A1" display="Technical specifications" xr:uid="{00000000-0004-0000-2000-000001000000}"/>
    <hyperlink ref="A32" location="Contents!A1" display="Back to contents" xr:uid="{00000000-0004-0000-2000-000002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G29"/>
  <sheetViews>
    <sheetView workbookViewId="0">
      <selection sqref="A1:G1"/>
    </sheetView>
  </sheetViews>
  <sheetFormatPr defaultRowHeight="14.75" customHeight="1" x14ac:dyDescent="0.35"/>
  <cols>
    <col min="1" max="1" width="42" customWidth="1"/>
    <col min="2" max="2" width="15" customWidth="1"/>
    <col min="3" max="7" width="11.1796875" customWidth="1"/>
  </cols>
  <sheetData>
    <row r="1" spans="1:7" ht="33.75" customHeight="1" x14ac:dyDescent="0.35">
      <c r="A1" s="96" t="s">
        <v>792</v>
      </c>
      <c r="B1" s="97"/>
      <c r="C1" s="97"/>
      <c r="D1" s="97"/>
      <c r="E1" s="97"/>
      <c r="F1" s="97"/>
      <c r="G1" s="97"/>
    </row>
    <row r="2" spans="1:7" ht="14.5" x14ac:dyDescent="0.35">
      <c r="A2" s="36" t="s">
        <v>793</v>
      </c>
      <c r="B2" s="36" t="s">
        <v>293</v>
      </c>
      <c r="C2" s="37" t="s">
        <v>277</v>
      </c>
      <c r="D2" s="37" t="s">
        <v>278</v>
      </c>
      <c r="E2" s="37" t="s">
        <v>279</v>
      </c>
      <c r="F2" s="37" t="s">
        <v>280</v>
      </c>
      <c r="G2" s="37" t="s">
        <v>281</v>
      </c>
    </row>
    <row r="3" spans="1:7" ht="14.5" x14ac:dyDescent="0.35">
      <c r="A3" s="38" t="s">
        <v>430</v>
      </c>
      <c r="B3" s="38" t="s">
        <v>295</v>
      </c>
      <c r="C3" s="40">
        <v>68.965000000000003</v>
      </c>
      <c r="D3" s="40">
        <v>64.237200000000001</v>
      </c>
      <c r="E3" s="40">
        <v>58.634799999999998</v>
      </c>
      <c r="F3" s="40">
        <v>57.420900000000003</v>
      </c>
      <c r="G3" s="40">
        <v>56.312399999999997</v>
      </c>
    </row>
    <row r="4" spans="1:7" ht="14.5" x14ac:dyDescent="0.35">
      <c r="A4" s="38" t="s">
        <v>430</v>
      </c>
      <c r="B4" s="38" t="s">
        <v>297</v>
      </c>
      <c r="C4" s="40">
        <v>61.972299999999997</v>
      </c>
      <c r="D4" s="40">
        <v>55.314599999999999</v>
      </c>
      <c r="E4" s="40">
        <v>51.981499999999997</v>
      </c>
      <c r="F4" s="40">
        <v>53.201900000000002</v>
      </c>
      <c r="G4" s="40">
        <v>52.6708</v>
      </c>
    </row>
    <row r="5" spans="1:7" ht="14.5" x14ac:dyDescent="0.35">
      <c r="A5" s="38" t="s">
        <v>430</v>
      </c>
      <c r="B5" s="38" t="s">
        <v>298</v>
      </c>
      <c r="C5" s="40">
        <v>69.112700000000004</v>
      </c>
      <c r="D5" s="40">
        <v>61.354999999999997</v>
      </c>
      <c r="E5" s="40">
        <v>53.9983</v>
      </c>
      <c r="F5" s="40">
        <v>51.857100000000003</v>
      </c>
      <c r="G5" s="40">
        <v>49.9313</v>
      </c>
    </row>
    <row r="6" spans="1:7" ht="14.5" x14ac:dyDescent="0.35">
      <c r="A6" s="38" t="s">
        <v>430</v>
      </c>
      <c r="B6" s="38" t="s">
        <v>299</v>
      </c>
      <c r="C6" s="40">
        <v>70.697199999999995</v>
      </c>
      <c r="D6" s="40">
        <v>64.594399999999993</v>
      </c>
      <c r="E6" s="40">
        <v>60.434399999999997</v>
      </c>
      <c r="F6" s="40">
        <v>59.1479</v>
      </c>
      <c r="G6" s="40">
        <v>53.930999999999997</v>
      </c>
    </row>
    <row r="7" spans="1:7" ht="14.5" x14ac:dyDescent="0.35">
      <c r="A7" s="38" t="s">
        <v>430</v>
      </c>
      <c r="B7" s="38" t="s">
        <v>300</v>
      </c>
      <c r="C7" s="40">
        <v>60.777500000000003</v>
      </c>
      <c r="D7" s="40">
        <v>57.559100000000001</v>
      </c>
      <c r="E7" s="40">
        <v>51.974899999999998</v>
      </c>
      <c r="F7" s="40">
        <v>50.777000000000001</v>
      </c>
      <c r="G7" s="40">
        <v>49.622900000000001</v>
      </c>
    </row>
    <row r="8" spans="1:7" ht="14.5" x14ac:dyDescent="0.35">
      <c r="A8" s="38" t="s">
        <v>430</v>
      </c>
      <c r="B8" s="38" t="s">
        <v>301</v>
      </c>
      <c r="C8" s="40">
        <v>57.712000000000003</v>
      </c>
      <c r="D8" s="40">
        <v>55.151899999999998</v>
      </c>
      <c r="E8" s="40">
        <v>51.384799999999998</v>
      </c>
      <c r="F8" s="40">
        <v>50.428100000000001</v>
      </c>
      <c r="G8" s="40">
        <v>47.451099999999997</v>
      </c>
    </row>
    <row r="9" spans="1:7" ht="14.5" x14ac:dyDescent="0.35">
      <c r="A9" s="38" t="s">
        <v>430</v>
      </c>
      <c r="B9" s="38" t="s">
        <v>302</v>
      </c>
      <c r="C9" s="40">
        <v>56.629300000000001</v>
      </c>
      <c r="D9" s="40">
        <v>52.373899999999999</v>
      </c>
      <c r="E9" s="40">
        <v>47.885599999999997</v>
      </c>
      <c r="F9" s="40">
        <v>56.235500000000002</v>
      </c>
      <c r="G9" s="40">
        <v>60.755499999999998</v>
      </c>
    </row>
    <row r="10" spans="1:7" ht="14.5" x14ac:dyDescent="0.35">
      <c r="A10" s="38" t="s">
        <v>430</v>
      </c>
      <c r="B10" s="38" t="s">
        <v>303</v>
      </c>
      <c r="C10" s="40">
        <v>63.5884</v>
      </c>
      <c r="D10" s="40">
        <v>58.768700000000003</v>
      </c>
      <c r="E10" s="40">
        <v>60.613700000000001</v>
      </c>
      <c r="F10" s="40">
        <v>55.264600000000002</v>
      </c>
      <c r="G10" s="40">
        <v>53.601300000000002</v>
      </c>
    </row>
    <row r="11" spans="1:7" ht="14.5" x14ac:dyDescent="0.35">
      <c r="A11" s="38" t="s">
        <v>430</v>
      </c>
      <c r="B11" s="38" t="s">
        <v>304</v>
      </c>
      <c r="C11" s="40">
        <v>66.703999999999994</v>
      </c>
      <c r="D11" s="40">
        <v>60.8643</v>
      </c>
      <c r="E11" s="40">
        <v>55.756999999999998</v>
      </c>
      <c r="F11" s="40">
        <v>54.9754</v>
      </c>
      <c r="G11" s="40">
        <v>53.399900000000002</v>
      </c>
    </row>
    <row r="12" spans="1:7" ht="14.5" x14ac:dyDescent="0.35">
      <c r="A12" s="38" t="s">
        <v>428</v>
      </c>
      <c r="B12" s="38" t="s">
        <v>295</v>
      </c>
      <c r="C12" s="40">
        <v>35.764600000000002</v>
      </c>
      <c r="D12" s="40">
        <v>28.685300000000002</v>
      </c>
      <c r="E12" s="40">
        <v>24.6022</v>
      </c>
      <c r="F12" s="40">
        <v>24.602799999999998</v>
      </c>
      <c r="G12" s="40">
        <v>24.476800000000001</v>
      </c>
    </row>
    <row r="13" spans="1:7" ht="14.5" x14ac:dyDescent="0.35">
      <c r="A13" s="38" t="s">
        <v>428</v>
      </c>
      <c r="B13" s="38" t="s">
        <v>297</v>
      </c>
      <c r="C13" s="40">
        <v>44.598799999999997</v>
      </c>
      <c r="D13" s="40">
        <v>36.860999999999997</v>
      </c>
      <c r="E13" s="40">
        <v>33.767299999999999</v>
      </c>
      <c r="F13" s="40">
        <v>36.321199999999997</v>
      </c>
      <c r="G13" s="40">
        <v>36.8371</v>
      </c>
    </row>
    <row r="14" spans="1:7" ht="14.5" x14ac:dyDescent="0.35">
      <c r="A14" s="38" t="s">
        <v>428</v>
      </c>
      <c r="B14" s="38" t="s">
        <v>298</v>
      </c>
      <c r="C14" s="40">
        <v>48.539900000000003</v>
      </c>
      <c r="D14" s="40">
        <v>38.959000000000003</v>
      </c>
      <c r="E14" s="40">
        <v>34.772599999999997</v>
      </c>
      <c r="F14" s="40">
        <v>33.144300000000001</v>
      </c>
      <c r="G14" s="40">
        <v>31.353000000000002</v>
      </c>
    </row>
    <row r="15" spans="1:7" ht="14.5" x14ac:dyDescent="0.35">
      <c r="A15" s="38" t="s">
        <v>428</v>
      </c>
      <c r="B15" s="38" t="s">
        <v>299</v>
      </c>
      <c r="C15" s="40">
        <v>42.563299999999998</v>
      </c>
      <c r="D15" s="40">
        <v>34.046300000000002</v>
      </c>
      <c r="E15" s="40">
        <v>29.558800000000002</v>
      </c>
      <c r="F15" s="40">
        <v>28.5305</v>
      </c>
      <c r="G15" s="40">
        <v>23.118600000000001</v>
      </c>
    </row>
    <row r="16" spans="1:7" ht="14.5" x14ac:dyDescent="0.35">
      <c r="A16" s="38" t="s">
        <v>428</v>
      </c>
      <c r="B16" s="38" t="s">
        <v>300</v>
      </c>
      <c r="C16" s="40">
        <v>42.245699999999999</v>
      </c>
      <c r="D16" s="40">
        <v>39.104399999999998</v>
      </c>
      <c r="E16" s="40">
        <v>32.317700000000002</v>
      </c>
      <c r="F16" s="40">
        <v>29.789400000000001</v>
      </c>
      <c r="G16" s="40">
        <v>27.898099999999999</v>
      </c>
    </row>
    <row r="17" spans="1:7" ht="14.5" x14ac:dyDescent="0.35">
      <c r="A17" s="38" t="s">
        <v>428</v>
      </c>
      <c r="B17" s="38" t="s">
        <v>301</v>
      </c>
      <c r="C17" s="40">
        <v>23.318899999999999</v>
      </c>
      <c r="D17" s="40">
        <v>24.534400000000002</v>
      </c>
      <c r="E17" s="40">
        <v>22.034199999999998</v>
      </c>
      <c r="F17" s="40">
        <v>20.660799999999998</v>
      </c>
      <c r="G17" s="40">
        <v>20.471</v>
      </c>
    </row>
    <row r="18" spans="1:7" ht="14.5" x14ac:dyDescent="0.35">
      <c r="A18" s="38" t="s">
        <v>428</v>
      </c>
      <c r="B18" s="38" t="s">
        <v>302</v>
      </c>
      <c r="C18" s="40">
        <v>37.742199999999997</v>
      </c>
      <c r="D18" s="40">
        <v>32.980600000000003</v>
      </c>
      <c r="E18" s="40">
        <v>32.118400000000001</v>
      </c>
      <c r="F18" s="40">
        <v>43.349200000000003</v>
      </c>
      <c r="G18" s="40">
        <v>48.688600000000001</v>
      </c>
    </row>
    <row r="19" spans="1:7" ht="14.5" x14ac:dyDescent="0.35">
      <c r="A19" s="38" t="s">
        <v>428</v>
      </c>
      <c r="B19" s="38" t="s">
        <v>303</v>
      </c>
      <c r="C19" s="40">
        <v>32.0501</v>
      </c>
      <c r="D19" s="40">
        <v>27.426600000000001</v>
      </c>
      <c r="E19" s="40">
        <v>39.781300000000002</v>
      </c>
      <c r="F19" s="40">
        <v>28.939499999999999</v>
      </c>
      <c r="G19" s="40">
        <v>29.161999999999999</v>
      </c>
    </row>
    <row r="20" spans="1:7" ht="14.5" x14ac:dyDescent="0.35">
      <c r="A20" s="49" t="s">
        <v>428</v>
      </c>
      <c r="B20" s="49" t="s">
        <v>304</v>
      </c>
      <c r="C20" s="51">
        <v>41.805100000000003</v>
      </c>
      <c r="D20" s="51">
        <v>34.440800000000003</v>
      </c>
      <c r="E20" s="51">
        <v>30.744900000000001</v>
      </c>
      <c r="F20" s="51">
        <v>30.795100000000001</v>
      </c>
      <c r="G20" s="51">
        <v>30.085799999999999</v>
      </c>
    </row>
    <row r="21" spans="1:7" ht="14.5" x14ac:dyDescent="0.35">
      <c r="A21" s="100" t="s">
        <v>670</v>
      </c>
      <c r="B21" s="99"/>
      <c r="C21" s="99"/>
      <c r="D21" s="99"/>
      <c r="E21" s="99"/>
      <c r="F21" s="99"/>
      <c r="G21" s="99"/>
    </row>
    <row r="22" spans="1:7" ht="18.5" customHeight="1" x14ac:dyDescent="0.35">
      <c r="A22" s="100" t="s">
        <v>794</v>
      </c>
      <c r="B22" s="99"/>
      <c r="C22" s="99"/>
      <c r="D22" s="99"/>
      <c r="E22" s="99"/>
      <c r="F22" s="99"/>
      <c r="G22" s="99"/>
    </row>
    <row r="23" spans="1:7" ht="14.5" x14ac:dyDescent="0.35">
      <c r="A23" s="44"/>
      <c r="B23" s="35"/>
      <c r="C23" s="35"/>
      <c r="D23" s="35"/>
      <c r="E23" s="35"/>
      <c r="F23" s="35"/>
      <c r="G23" s="35"/>
    </row>
    <row r="24" spans="1:7" ht="14.5" x14ac:dyDescent="0.35">
      <c r="A24" s="35" t="s">
        <v>290</v>
      </c>
      <c r="B24" s="35"/>
      <c r="C24" s="35"/>
      <c r="D24" s="35"/>
      <c r="E24" s="35"/>
      <c r="F24" s="35"/>
      <c r="G24" s="35"/>
    </row>
    <row r="25" spans="1:7" ht="14.5" x14ac:dyDescent="0.35">
      <c r="A25" s="45" t="s">
        <v>291</v>
      </c>
      <c r="B25" s="35"/>
      <c r="C25" s="35"/>
      <c r="D25" s="35"/>
      <c r="E25" s="35"/>
      <c r="F25" s="35"/>
      <c r="G25" s="35"/>
    </row>
    <row r="26" spans="1:7" ht="14.5" x14ac:dyDescent="0.35">
      <c r="A26" s="35"/>
      <c r="B26" s="35"/>
      <c r="C26" s="35"/>
      <c r="D26" s="35"/>
      <c r="E26" s="35"/>
      <c r="F26" s="35"/>
      <c r="G26" s="35"/>
    </row>
    <row r="27" spans="1:7" ht="14.5" x14ac:dyDescent="0.35">
      <c r="A27" s="45" t="s">
        <v>3</v>
      </c>
      <c r="B27" s="35"/>
      <c r="C27" s="35"/>
      <c r="D27" s="35"/>
      <c r="E27" s="35"/>
      <c r="F27" s="35"/>
      <c r="G27" s="35"/>
    </row>
    <row r="28" spans="1:7" ht="14.5" x14ac:dyDescent="0.35">
      <c r="A28" s="35"/>
      <c r="B28" s="35"/>
      <c r="C28" s="35"/>
      <c r="D28" s="35"/>
      <c r="E28" s="35"/>
      <c r="F28" s="35"/>
      <c r="G28" s="35"/>
    </row>
    <row r="29" spans="1:7" ht="14.5" x14ac:dyDescent="0.35">
      <c r="A29" s="45" t="s">
        <v>292</v>
      </c>
      <c r="B29" s="35"/>
      <c r="C29" s="35"/>
      <c r="D29" s="35"/>
      <c r="E29" s="35"/>
      <c r="F29" s="35"/>
      <c r="G29" s="35"/>
    </row>
  </sheetData>
  <mergeCells count="3">
    <mergeCell ref="A21:G21"/>
    <mergeCell ref="A22:G22"/>
    <mergeCell ref="A1:G1"/>
  </mergeCells>
  <hyperlinks>
    <hyperlink ref="A25" r:id="rId1" xr:uid="{00000000-0004-0000-2100-000000000000}"/>
    <hyperlink ref="A27" location="'Technical specifications'!A1" display="Technical specifications" xr:uid="{00000000-0004-0000-2100-000001000000}"/>
    <hyperlink ref="A29" location="Contents!A1" display="Back to contents" xr:uid="{00000000-0004-0000-2100-000002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41"/>
  <sheetViews>
    <sheetView workbookViewId="0">
      <selection sqref="A1:K1"/>
    </sheetView>
  </sheetViews>
  <sheetFormatPr defaultRowHeight="14.75" customHeight="1" x14ac:dyDescent="0.35"/>
  <cols>
    <col min="1" max="1" width="54" customWidth="1"/>
    <col min="2" max="2" width="15" customWidth="1"/>
    <col min="3" max="11" width="8.453125" customWidth="1"/>
  </cols>
  <sheetData>
    <row r="1" spans="1:11" ht="33.75" customHeight="1" x14ac:dyDescent="0.35">
      <c r="A1" s="96" t="s">
        <v>795</v>
      </c>
      <c r="B1" s="97"/>
      <c r="C1" s="97"/>
      <c r="D1" s="97"/>
      <c r="E1" s="97"/>
      <c r="F1" s="97"/>
      <c r="G1" s="97"/>
      <c r="H1" s="97"/>
      <c r="I1" s="97"/>
      <c r="J1" s="97"/>
      <c r="K1" s="97"/>
    </row>
    <row r="2" spans="1:11" ht="14.5" x14ac:dyDescent="0.35">
      <c r="A2" s="36" t="s">
        <v>276</v>
      </c>
      <c r="B2" s="36" t="s">
        <v>337</v>
      </c>
      <c r="C2" s="37" t="s">
        <v>295</v>
      </c>
      <c r="D2" s="37" t="s">
        <v>297</v>
      </c>
      <c r="E2" s="37" t="s">
        <v>298</v>
      </c>
      <c r="F2" s="37" t="s">
        <v>299</v>
      </c>
      <c r="G2" s="37" t="s">
        <v>300</v>
      </c>
      <c r="H2" s="37" t="s">
        <v>301</v>
      </c>
      <c r="I2" s="37" t="s">
        <v>302</v>
      </c>
      <c r="J2" s="37" t="s">
        <v>303</v>
      </c>
      <c r="K2" s="37" t="s">
        <v>304</v>
      </c>
    </row>
    <row r="3" spans="1:11" ht="14.5" x14ac:dyDescent="0.35">
      <c r="A3" s="38" t="s">
        <v>284</v>
      </c>
      <c r="B3" s="38" t="s">
        <v>343</v>
      </c>
      <c r="C3" s="39">
        <v>38.702199999999998</v>
      </c>
      <c r="D3" s="39">
        <v>51.87</v>
      </c>
      <c r="E3" s="39">
        <v>48.937600000000003</v>
      </c>
      <c r="F3" s="39">
        <v>47.6265</v>
      </c>
      <c r="G3" s="39">
        <v>42.935499999999998</v>
      </c>
      <c r="H3" s="39">
        <v>48.302500000000002</v>
      </c>
      <c r="I3" s="39">
        <v>51.428600000000003</v>
      </c>
      <c r="J3" s="39">
        <v>36.978000000000002</v>
      </c>
      <c r="K3" s="39">
        <v>45.174300000000002</v>
      </c>
    </row>
    <row r="4" spans="1:11" ht="14.5" x14ac:dyDescent="0.35">
      <c r="A4" s="38" t="s">
        <v>284</v>
      </c>
      <c r="B4" s="38" t="s">
        <v>344</v>
      </c>
      <c r="C4" s="39">
        <v>31.696200000000001</v>
      </c>
      <c r="D4" s="39">
        <v>43.090899999999998</v>
      </c>
      <c r="E4" s="39">
        <v>39.792000000000002</v>
      </c>
      <c r="F4" s="39">
        <v>42.817500000000003</v>
      </c>
      <c r="G4" s="39">
        <v>35.299199999999999</v>
      </c>
      <c r="H4" s="39">
        <v>39.380600000000001</v>
      </c>
      <c r="I4" s="39">
        <v>54.043300000000002</v>
      </c>
      <c r="J4" s="39">
        <v>30.296299999999999</v>
      </c>
      <c r="K4" s="39">
        <v>38.043599999999998</v>
      </c>
    </row>
    <row r="5" spans="1:11" ht="14.5" x14ac:dyDescent="0.35">
      <c r="A5" s="38" t="s">
        <v>284</v>
      </c>
      <c r="B5" s="38" t="s">
        <v>345</v>
      </c>
      <c r="C5" s="39">
        <v>38.007100000000001</v>
      </c>
      <c r="D5" s="39">
        <v>51.014800000000001</v>
      </c>
      <c r="E5" s="39">
        <v>43.236400000000003</v>
      </c>
      <c r="F5" s="39">
        <v>38.509399999999999</v>
      </c>
      <c r="G5" s="39">
        <v>37.3247</v>
      </c>
      <c r="H5" s="39">
        <v>37.079500000000003</v>
      </c>
      <c r="I5" s="39">
        <v>54.332299999999996</v>
      </c>
      <c r="J5" s="39">
        <v>31.647200000000002</v>
      </c>
      <c r="K5" s="39">
        <v>42.3581</v>
      </c>
    </row>
    <row r="6" spans="1:11" ht="14.5" x14ac:dyDescent="0.35">
      <c r="A6" s="38" t="s">
        <v>284</v>
      </c>
      <c r="B6" s="38" t="s">
        <v>346</v>
      </c>
      <c r="C6" s="39">
        <v>59.087699999999998</v>
      </c>
      <c r="D6" s="39">
        <v>66.053600000000003</v>
      </c>
      <c r="E6" s="39">
        <v>62.136000000000003</v>
      </c>
      <c r="F6" s="39">
        <v>56.506300000000003</v>
      </c>
      <c r="G6" s="39">
        <v>57.150500000000001</v>
      </c>
      <c r="H6" s="39">
        <v>50.274099999999997</v>
      </c>
      <c r="I6" s="39">
        <v>67.987899999999996</v>
      </c>
      <c r="J6" s="39">
        <v>45.890799999999999</v>
      </c>
      <c r="K6" s="39">
        <v>60.461500000000001</v>
      </c>
    </row>
    <row r="7" spans="1:11" ht="14.5" x14ac:dyDescent="0.35">
      <c r="A7" s="38" t="s">
        <v>284</v>
      </c>
      <c r="B7" s="38" t="s">
        <v>347</v>
      </c>
      <c r="C7" s="39">
        <v>76.947000000000003</v>
      </c>
      <c r="D7" s="39">
        <v>83.427199999999999</v>
      </c>
      <c r="E7" s="39">
        <v>77.149199999999993</v>
      </c>
      <c r="F7" s="39">
        <v>68.646600000000007</v>
      </c>
      <c r="G7" s="39">
        <v>72.491</v>
      </c>
      <c r="H7" s="39">
        <v>68.080399999999997</v>
      </c>
      <c r="I7" s="39">
        <v>83.0899</v>
      </c>
      <c r="J7" s="39">
        <v>62.612200000000001</v>
      </c>
      <c r="K7" s="39">
        <v>77.458200000000005</v>
      </c>
    </row>
    <row r="8" spans="1:11" ht="14.5" x14ac:dyDescent="0.35">
      <c r="A8" s="61" t="s">
        <v>284</v>
      </c>
      <c r="B8" s="69" t="s">
        <v>1303</v>
      </c>
      <c r="C8" s="62">
        <v>45.414299999999997</v>
      </c>
      <c r="D8" s="62">
        <v>55.932699999999997</v>
      </c>
      <c r="E8" s="62">
        <v>49.622999999999998</v>
      </c>
      <c r="F8" s="62">
        <v>46.369700000000002</v>
      </c>
      <c r="G8" s="62">
        <v>43.3874</v>
      </c>
      <c r="H8" s="62">
        <v>42.762999999999998</v>
      </c>
      <c r="I8" s="62">
        <v>60.618400000000001</v>
      </c>
      <c r="J8" s="62">
        <v>38.1691</v>
      </c>
      <c r="K8" s="62">
        <v>48.744300000000003</v>
      </c>
    </row>
    <row r="9" spans="1:11" ht="14.5" x14ac:dyDescent="0.35">
      <c r="A9" s="38" t="s">
        <v>285</v>
      </c>
      <c r="B9" s="38" t="s">
        <v>343</v>
      </c>
      <c r="C9" s="39">
        <v>35.061300000000003</v>
      </c>
      <c r="D9" s="39">
        <v>36.939</v>
      </c>
      <c r="E9" s="39">
        <v>32.915900000000001</v>
      </c>
      <c r="F9" s="39">
        <v>34.956600000000002</v>
      </c>
      <c r="G9" s="39">
        <v>40.197699999999998</v>
      </c>
      <c r="H9" s="39">
        <v>41.980499999999999</v>
      </c>
      <c r="I9" s="39">
        <v>41.525399999999998</v>
      </c>
      <c r="J9" s="39">
        <v>56.488500000000002</v>
      </c>
      <c r="K9" s="39">
        <v>35.833799999999997</v>
      </c>
    </row>
    <row r="10" spans="1:11" ht="14.5" x14ac:dyDescent="0.35">
      <c r="A10" s="38" t="s">
        <v>285</v>
      </c>
      <c r="B10" s="38" t="s">
        <v>344</v>
      </c>
      <c r="C10" s="39">
        <v>38.6798</v>
      </c>
      <c r="D10" s="39">
        <v>38.5989</v>
      </c>
      <c r="E10" s="39">
        <v>37.694499999999998</v>
      </c>
      <c r="F10" s="39">
        <v>38.0473</v>
      </c>
      <c r="G10" s="39">
        <v>35.789200000000001</v>
      </c>
      <c r="H10" s="39">
        <v>30.377600000000001</v>
      </c>
      <c r="I10" s="39">
        <v>59.449599999999997</v>
      </c>
      <c r="J10" s="39">
        <v>50.522199999999998</v>
      </c>
      <c r="K10" s="39">
        <v>38.389299999999999</v>
      </c>
    </row>
    <row r="11" spans="1:11" ht="14.5" x14ac:dyDescent="0.35">
      <c r="A11" s="38" t="s">
        <v>285</v>
      </c>
      <c r="B11" s="38" t="s">
        <v>345</v>
      </c>
      <c r="C11" s="39">
        <v>40.941400000000002</v>
      </c>
      <c r="D11" s="39">
        <v>40.512700000000002</v>
      </c>
      <c r="E11" s="39">
        <v>41.545000000000002</v>
      </c>
      <c r="F11" s="39">
        <v>37.490200000000002</v>
      </c>
      <c r="G11" s="39">
        <v>29.207599999999999</v>
      </c>
      <c r="H11" s="39">
        <v>34.6678</v>
      </c>
      <c r="I11" s="39">
        <v>52.276899999999998</v>
      </c>
      <c r="J11" s="39">
        <v>54.912700000000001</v>
      </c>
      <c r="K11" s="39">
        <v>40.323500000000003</v>
      </c>
    </row>
    <row r="12" spans="1:11" ht="14.5" x14ac:dyDescent="0.35">
      <c r="A12" s="38" t="s">
        <v>285</v>
      </c>
      <c r="B12" s="38" t="s">
        <v>346</v>
      </c>
      <c r="C12" s="39">
        <v>60.705800000000004</v>
      </c>
      <c r="D12" s="39">
        <v>58.3095</v>
      </c>
      <c r="E12" s="39">
        <v>61.871200000000002</v>
      </c>
      <c r="F12" s="39">
        <v>56.485900000000001</v>
      </c>
      <c r="G12" s="39">
        <v>46.228700000000003</v>
      </c>
      <c r="H12" s="39">
        <v>58.7102</v>
      </c>
      <c r="I12" s="39">
        <v>67.613399999999999</v>
      </c>
      <c r="J12" s="39">
        <v>70.584900000000005</v>
      </c>
      <c r="K12" s="39">
        <v>59.3949</v>
      </c>
    </row>
    <row r="13" spans="1:11" ht="14.5" x14ac:dyDescent="0.35">
      <c r="A13" s="38" t="s">
        <v>285</v>
      </c>
      <c r="B13" s="38" t="s">
        <v>347</v>
      </c>
      <c r="C13" s="39">
        <v>79.042900000000003</v>
      </c>
      <c r="D13" s="39">
        <v>79.8386</v>
      </c>
      <c r="E13" s="39">
        <v>80.071100000000001</v>
      </c>
      <c r="F13" s="39">
        <v>74.001000000000005</v>
      </c>
      <c r="G13" s="39">
        <v>71.209599999999995</v>
      </c>
      <c r="H13" s="39">
        <v>79.347800000000007</v>
      </c>
      <c r="I13" s="39">
        <v>84.65</v>
      </c>
      <c r="J13" s="39">
        <v>78.9559</v>
      </c>
      <c r="K13" s="39">
        <v>78.736500000000007</v>
      </c>
    </row>
    <row r="14" spans="1:11" ht="14.5" x14ac:dyDescent="0.35">
      <c r="A14" s="61" t="s">
        <v>285</v>
      </c>
      <c r="B14" s="69" t="s">
        <v>1303</v>
      </c>
      <c r="C14" s="62">
        <v>49.548400000000001</v>
      </c>
      <c r="D14" s="62">
        <v>46.965499999999999</v>
      </c>
      <c r="E14" s="62">
        <v>46.435000000000002</v>
      </c>
      <c r="F14" s="62">
        <v>44.933900000000001</v>
      </c>
      <c r="G14" s="62">
        <v>38.487000000000002</v>
      </c>
      <c r="H14" s="62">
        <v>42.480600000000003</v>
      </c>
      <c r="I14" s="62">
        <v>60.977200000000003</v>
      </c>
      <c r="J14" s="62">
        <v>62.074800000000003</v>
      </c>
      <c r="K14" s="62">
        <v>47.430100000000003</v>
      </c>
    </row>
    <row r="15" spans="1:11" ht="14.5" x14ac:dyDescent="0.35">
      <c r="A15" s="38" t="s">
        <v>286</v>
      </c>
      <c r="B15" s="38" t="s">
        <v>343</v>
      </c>
      <c r="C15" s="39">
        <v>33.200600000000001</v>
      </c>
      <c r="D15" s="39">
        <v>33.457599999999999</v>
      </c>
      <c r="E15" s="39">
        <v>35.403399999999998</v>
      </c>
      <c r="F15" s="39">
        <v>34.8018</v>
      </c>
      <c r="G15" s="39">
        <v>40.665399999999998</v>
      </c>
      <c r="H15" s="39">
        <v>45.454500000000003</v>
      </c>
      <c r="I15" s="39" t="s">
        <v>1278</v>
      </c>
      <c r="J15" s="39" t="s">
        <v>1278</v>
      </c>
      <c r="K15" s="39">
        <v>34.739100000000001</v>
      </c>
    </row>
    <row r="16" spans="1:11" ht="14.5" x14ac:dyDescent="0.35">
      <c r="A16" s="38" t="s">
        <v>286</v>
      </c>
      <c r="B16" s="38" t="s">
        <v>344</v>
      </c>
      <c r="C16" s="39">
        <v>42.897199999999998</v>
      </c>
      <c r="D16" s="39">
        <v>42.343800000000002</v>
      </c>
      <c r="E16" s="39">
        <v>48.453200000000002</v>
      </c>
      <c r="F16" s="39">
        <v>47.257100000000001</v>
      </c>
      <c r="G16" s="39">
        <v>42.637799999999999</v>
      </c>
      <c r="H16" s="39">
        <v>46.058199999999999</v>
      </c>
      <c r="I16" s="39" t="s">
        <v>1278</v>
      </c>
      <c r="J16" s="39" t="s">
        <v>1278</v>
      </c>
      <c r="K16" s="39">
        <v>44.850299999999997</v>
      </c>
    </row>
    <row r="17" spans="1:11" ht="14.5" x14ac:dyDescent="0.35">
      <c r="A17" s="38" t="s">
        <v>286</v>
      </c>
      <c r="B17" s="38" t="s">
        <v>345</v>
      </c>
      <c r="C17" s="39">
        <v>50.632599999999996</v>
      </c>
      <c r="D17" s="39">
        <v>46.1096</v>
      </c>
      <c r="E17" s="39">
        <v>50.395800000000001</v>
      </c>
      <c r="F17" s="39">
        <v>51.644399999999997</v>
      </c>
      <c r="G17" s="39">
        <v>44.929499999999997</v>
      </c>
      <c r="H17" s="39">
        <v>61.324199999999998</v>
      </c>
      <c r="I17" s="39" t="s">
        <v>1278</v>
      </c>
      <c r="J17" s="39" t="s">
        <v>1278</v>
      </c>
      <c r="K17" s="39">
        <v>49.569699999999997</v>
      </c>
    </row>
    <row r="18" spans="1:11" ht="14.5" x14ac:dyDescent="0.35">
      <c r="A18" s="38" t="s">
        <v>286</v>
      </c>
      <c r="B18" s="38" t="s">
        <v>346</v>
      </c>
      <c r="C18" s="39">
        <v>70.998000000000005</v>
      </c>
      <c r="D18" s="39">
        <v>65.502399999999994</v>
      </c>
      <c r="E18" s="39">
        <v>74.079700000000003</v>
      </c>
      <c r="F18" s="39">
        <v>72.400199999999998</v>
      </c>
      <c r="G18" s="39">
        <v>66.413799999999995</v>
      </c>
      <c r="H18" s="39">
        <v>81.759600000000006</v>
      </c>
      <c r="I18" s="39" t="s">
        <v>1278</v>
      </c>
      <c r="J18" s="39" t="s">
        <v>1278</v>
      </c>
      <c r="K18" s="39">
        <v>70.646900000000002</v>
      </c>
    </row>
    <row r="19" spans="1:11" ht="14.5" x14ac:dyDescent="0.35">
      <c r="A19" s="38" t="s">
        <v>286</v>
      </c>
      <c r="B19" s="38" t="s">
        <v>347</v>
      </c>
      <c r="C19" s="39">
        <v>86.053799999999995</v>
      </c>
      <c r="D19" s="39">
        <v>85.963200000000001</v>
      </c>
      <c r="E19" s="39">
        <v>90.377499999999998</v>
      </c>
      <c r="F19" s="39">
        <v>84.112499999999997</v>
      </c>
      <c r="G19" s="39">
        <v>85.506100000000004</v>
      </c>
      <c r="H19" s="39">
        <v>92.130700000000004</v>
      </c>
      <c r="I19" s="39" t="s">
        <v>1278</v>
      </c>
      <c r="J19" s="39" t="s">
        <v>1278</v>
      </c>
      <c r="K19" s="39">
        <v>86.441900000000004</v>
      </c>
    </row>
    <row r="20" spans="1:11" ht="14.5" x14ac:dyDescent="0.35">
      <c r="A20" s="61" t="s">
        <v>286</v>
      </c>
      <c r="B20" s="69" t="s">
        <v>1303</v>
      </c>
      <c r="C20" s="62">
        <v>60.6828</v>
      </c>
      <c r="D20" s="62">
        <v>54.544899999999998</v>
      </c>
      <c r="E20" s="62">
        <v>58.654299999999999</v>
      </c>
      <c r="F20" s="62">
        <v>61.338299999999997</v>
      </c>
      <c r="G20" s="62">
        <v>56.502800000000001</v>
      </c>
      <c r="H20" s="62">
        <v>71.824200000000005</v>
      </c>
      <c r="I20" s="62" t="s">
        <v>1278</v>
      </c>
      <c r="J20" s="62" t="s">
        <v>1278</v>
      </c>
      <c r="K20" s="62">
        <v>59.037599999999998</v>
      </c>
    </row>
    <row r="21" spans="1:11" ht="14.5" x14ac:dyDescent="0.35">
      <c r="A21" s="38" t="s">
        <v>287</v>
      </c>
      <c r="B21" s="38" t="s">
        <v>343</v>
      </c>
      <c r="C21" s="39">
        <v>51.726799999999997</v>
      </c>
      <c r="D21" s="39">
        <v>39.230800000000002</v>
      </c>
      <c r="E21" s="39" t="s">
        <v>1278</v>
      </c>
      <c r="F21" s="39">
        <v>31.210999999999999</v>
      </c>
      <c r="G21" s="39">
        <v>46.521099999999997</v>
      </c>
      <c r="H21" s="39" t="s">
        <v>1278</v>
      </c>
      <c r="I21" s="39" t="s">
        <v>1278</v>
      </c>
      <c r="J21" s="39">
        <v>35.9375</v>
      </c>
      <c r="K21" s="39">
        <v>43.020699999999998</v>
      </c>
    </row>
    <row r="22" spans="1:11" ht="14.5" x14ac:dyDescent="0.35">
      <c r="A22" s="38" t="s">
        <v>287</v>
      </c>
      <c r="B22" s="38" t="s">
        <v>344</v>
      </c>
      <c r="C22" s="39">
        <v>54.128599999999999</v>
      </c>
      <c r="D22" s="39">
        <v>46.469900000000003</v>
      </c>
      <c r="E22" s="39" t="s">
        <v>1278</v>
      </c>
      <c r="F22" s="39">
        <v>47.631799999999998</v>
      </c>
      <c r="G22" s="39">
        <v>53.392899999999997</v>
      </c>
      <c r="H22" s="39" t="s">
        <v>1278</v>
      </c>
      <c r="I22" s="39" t="s">
        <v>1278</v>
      </c>
      <c r="J22" s="39">
        <v>47.340899999999998</v>
      </c>
      <c r="K22" s="39">
        <v>51.073900000000002</v>
      </c>
    </row>
    <row r="23" spans="1:11" ht="14.5" x14ac:dyDescent="0.35">
      <c r="A23" s="38" t="s">
        <v>287</v>
      </c>
      <c r="B23" s="38" t="s">
        <v>345</v>
      </c>
      <c r="C23" s="39">
        <v>68.595500000000001</v>
      </c>
      <c r="D23" s="39">
        <v>55.387999999999998</v>
      </c>
      <c r="E23" s="39" t="s">
        <v>1278</v>
      </c>
      <c r="F23" s="39">
        <v>63.476700000000001</v>
      </c>
      <c r="G23" s="39">
        <v>57.499400000000001</v>
      </c>
      <c r="H23" s="39" t="s">
        <v>1278</v>
      </c>
      <c r="I23" s="39" t="s">
        <v>1278</v>
      </c>
      <c r="J23" s="39">
        <v>52.129399999999997</v>
      </c>
      <c r="K23" s="39">
        <v>62.605699999999999</v>
      </c>
    </row>
    <row r="24" spans="1:11" ht="14.5" x14ac:dyDescent="0.35">
      <c r="A24" s="38" t="s">
        <v>287</v>
      </c>
      <c r="B24" s="38" t="s">
        <v>346</v>
      </c>
      <c r="C24" s="39">
        <v>86.200100000000006</v>
      </c>
      <c r="D24" s="39">
        <v>78.113</v>
      </c>
      <c r="E24" s="39" t="s">
        <v>1278</v>
      </c>
      <c r="F24" s="39">
        <v>84.727000000000004</v>
      </c>
      <c r="G24" s="39">
        <v>76.482600000000005</v>
      </c>
      <c r="H24" s="39" t="s">
        <v>1278</v>
      </c>
      <c r="I24" s="39" t="s">
        <v>1278</v>
      </c>
      <c r="J24" s="39">
        <v>68.871099999999998</v>
      </c>
      <c r="K24" s="39">
        <v>82.122600000000006</v>
      </c>
    </row>
    <row r="25" spans="1:11" ht="14.5" x14ac:dyDescent="0.35">
      <c r="A25" s="38" t="s">
        <v>287</v>
      </c>
      <c r="B25" s="38" t="s">
        <v>347</v>
      </c>
      <c r="C25" s="39">
        <v>94.292100000000005</v>
      </c>
      <c r="D25" s="39">
        <v>90.731099999999998</v>
      </c>
      <c r="E25" s="39" t="s">
        <v>1278</v>
      </c>
      <c r="F25" s="39">
        <v>92.806600000000003</v>
      </c>
      <c r="G25" s="39">
        <v>89.991200000000006</v>
      </c>
      <c r="H25" s="39" t="s">
        <v>1278</v>
      </c>
      <c r="I25" s="39" t="s">
        <v>1278</v>
      </c>
      <c r="J25" s="39">
        <v>85.913700000000006</v>
      </c>
      <c r="K25" s="39">
        <v>92.759399999999999</v>
      </c>
    </row>
    <row r="26" spans="1:11" ht="14.5" x14ac:dyDescent="0.35">
      <c r="A26" s="61" t="s">
        <v>287</v>
      </c>
      <c r="B26" s="69" t="s">
        <v>1303</v>
      </c>
      <c r="C26" s="62">
        <v>79.083500000000001</v>
      </c>
      <c r="D26" s="62">
        <v>67.731399999999994</v>
      </c>
      <c r="E26" s="62" t="s">
        <v>1278</v>
      </c>
      <c r="F26" s="62">
        <v>76.160300000000007</v>
      </c>
      <c r="G26" s="62">
        <v>67.040099999999995</v>
      </c>
      <c r="H26" s="62" t="s">
        <v>1278</v>
      </c>
      <c r="I26" s="62" t="s">
        <v>1278</v>
      </c>
      <c r="J26" s="62">
        <v>62.7971</v>
      </c>
      <c r="K26" s="62">
        <v>73.979299999999995</v>
      </c>
    </row>
    <row r="27" spans="1:11" ht="14.5" x14ac:dyDescent="0.35">
      <c r="A27" s="46" t="s">
        <v>289</v>
      </c>
      <c r="B27" s="46" t="s">
        <v>343</v>
      </c>
      <c r="C27" s="47">
        <v>38.028399999999998</v>
      </c>
      <c r="D27" s="47">
        <v>43.316400000000002</v>
      </c>
      <c r="E27" s="47">
        <v>41.504300000000001</v>
      </c>
      <c r="F27" s="47">
        <v>41.5627</v>
      </c>
      <c r="G27" s="47">
        <v>42.300199999999997</v>
      </c>
      <c r="H27" s="47">
        <v>45</v>
      </c>
      <c r="I27" s="47">
        <v>49.183500000000002</v>
      </c>
      <c r="J27" s="47">
        <v>39.378500000000003</v>
      </c>
      <c r="K27" s="47">
        <v>40.973599999999998</v>
      </c>
    </row>
    <row r="28" spans="1:11" ht="14.5" x14ac:dyDescent="0.35">
      <c r="A28" s="46" t="s">
        <v>289</v>
      </c>
      <c r="B28" s="46" t="s">
        <v>344</v>
      </c>
      <c r="C28" s="47">
        <v>39.043999999999997</v>
      </c>
      <c r="D28" s="47">
        <v>41.557099999999998</v>
      </c>
      <c r="E28" s="47">
        <v>40.245899999999999</v>
      </c>
      <c r="F28" s="47">
        <v>42.462299999999999</v>
      </c>
      <c r="G28" s="47">
        <v>39.162399999999998</v>
      </c>
      <c r="H28" s="47">
        <v>35.985500000000002</v>
      </c>
      <c r="I28" s="47">
        <v>55.6922</v>
      </c>
      <c r="J28" s="47">
        <v>40.319699999999997</v>
      </c>
      <c r="K28" s="47">
        <v>40.448399999999999</v>
      </c>
    </row>
    <row r="29" spans="1:11" ht="14.5" x14ac:dyDescent="0.35">
      <c r="A29" s="46" t="s">
        <v>289</v>
      </c>
      <c r="B29" s="46" t="s">
        <v>345</v>
      </c>
      <c r="C29" s="47">
        <v>45.837400000000002</v>
      </c>
      <c r="D29" s="47">
        <v>45.7074</v>
      </c>
      <c r="E29" s="47">
        <v>43.788400000000003</v>
      </c>
      <c r="F29" s="47">
        <v>43.490099999999998</v>
      </c>
      <c r="G29" s="47">
        <v>40.500799999999998</v>
      </c>
      <c r="H29" s="47">
        <v>39.235399999999998</v>
      </c>
      <c r="I29" s="47">
        <v>53.541899999999998</v>
      </c>
      <c r="J29" s="47">
        <v>44.905999999999999</v>
      </c>
      <c r="K29" s="47">
        <v>44.739800000000002</v>
      </c>
    </row>
    <row r="30" spans="1:11" ht="14.5" x14ac:dyDescent="0.35">
      <c r="A30" s="46" t="s">
        <v>289</v>
      </c>
      <c r="B30" s="46" t="s">
        <v>346</v>
      </c>
      <c r="C30" s="47">
        <v>68.456999999999994</v>
      </c>
      <c r="D30" s="47">
        <v>63.601700000000001</v>
      </c>
      <c r="E30" s="47">
        <v>64.5381</v>
      </c>
      <c r="F30" s="47">
        <v>65.998999999999995</v>
      </c>
      <c r="G30" s="47">
        <v>61.571300000000001</v>
      </c>
      <c r="H30" s="47">
        <v>61.6556</v>
      </c>
      <c r="I30" s="47">
        <v>67.834199999999996</v>
      </c>
      <c r="J30" s="47">
        <v>61.694099999999999</v>
      </c>
      <c r="K30" s="47">
        <v>65.720299999999995</v>
      </c>
    </row>
    <row r="31" spans="1:11" ht="14.5" x14ac:dyDescent="0.35">
      <c r="A31" s="46" t="s">
        <v>289</v>
      </c>
      <c r="B31" s="46" t="s">
        <v>347</v>
      </c>
      <c r="C31" s="47">
        <v>86.5137</v>
      </c>
      <c r="D31" s="47">
        <v>82.474100000000007</v>
      </c>
      <c r="E31" s="47">
        <v>80.879599999999996</v>
      </c>
      <c r="F31" s="47">
        <v>84.384500000000003</v>
      </c>
      <c r="G31" s="47">
        <v>80.000600000000006</v>
      </c>
      <c r="H31" s="47">
        <v>76.092299999999994</v>
      </c>
      <c r="I31" s="47">
        <v>83.724699999999999</v>
      </c>
      <c r="J31" s="47">
        <v>79.003500000000003</v>
      </c>
      <c r="K31" s="47">
        <v>84.111800000000002</v>
      </c>
    </row>
    <row r="32" spans="1:11" ht="15" thickBot="1" x14ac:dyDescent="0.4">
      <c r="A32" s="41" t="s">
        <v>289</v>
      </c>
      <c r="B32" s="70" t="s">
        <v>1275</v>
      </c>
      <c r="C32" s="42">
        <v>56.312399999999997</v>
      </c>
      <c r="D32" s="42">
        <v>52.6708</v>
      </c>
      <c r="E32" s="42">
        <v>49.9313</v>
      </c>
      <c r="F32" s="42">
        <v>53.930999999999997</v>
      </c>
      <c r="G32" s="42">
        <v>49.622900000000001</v>
      </c>
      <c r="H32" s="42">
        <v>47.451099999999997</v>
      </c>
      <c r="I32" s="42">
        <v>60.755499999999998</v>
      </c>
      <c r="J32" s="42">
        <v>53.601300000000002</v>
      </c>
      <c r="K32" s="42">
        <v>53.399900000000002</v>
      </c>
    </row>
    <row r="33" spans="1:11" ht="14.5" x14ac:dyDescent="0.35">
      <c r="A33" s="98" t="s">
        <v>796</v>
      </c>
      <c r="B33" s="99"/>
      <c r="C33" s="99"/>
      <c r="D33" s="99"/>
      <c r="E33" s="99"/>
      <c r="F33" s="99"/>
      <c r="G33" s="99"/>
      <c r="H33" s="99"/>
      <c r="I33" s="99"/>
      <c r="J33" s="99"/>
      <c r="K33" s="99"/>
    </row>
    <row r="34" spans="1:11" ht="14.5" x14ac:dyDescent="0.35">
      <c r="A34" s="98" t="s">
        <v>797</v>
      </c>
      <c r="B34" s="99"/>
      <c r="C34" s="99"/>
      <c r="D34" s="99"/>
      <c r="E34" s="99"/>
      <c r="F34" s="99"/>
      <c r="G34" s="99"/>
      <c r="H34" s="99"/>
      <c r="I34" s="99"/>
      <c r="J34" s="99"/>
      <c r="K34" s="99"/>
    </row>
    <row r="35" spans="1:11" ht="14.5" x14ac:dyDescent="0.35">
      <c r="A35" s="44"/>
      <c r="B35" s="35"/>
      <c r="C35" s="35"/>
      <c r="D35" s="35"/>
      <c r="E35" s="35"/>
      <c r="F35" s="35"/>
      <c r="G35" s="35"/>
      <c r="H35" s="35"/>
      <c r="I35" s="35"/>
      <c r="J35" s="35"/>
      <c r="K35" s="35"/>
    </row>
    <row r="36" spans="1:11" ht="14.5" x14ac:dyDescent="0.35">
      <c r="A36" s="35" t="s">
        <v>290</v>
      </c>
      <c r="B36" s="35"/>
      <c r="C36" s="35"/>
      <c r="D36" s="35"/>
      <c r="E36" s="35"/>
      <c r="F36" s="35"/>
      <c r="G36" s="35"/>
      <c r="H36" s="35"/>
      <c r="I36" s="35"/>
      <c r="J36" s="35"/>
      <c r="K36" s="35"/>
    </row>
    <row r="37" spans="1:11" ht="14.5" x14ac:dyDescent="0.35">
      <c r="A37" s="45" t="s">
        <v>291</v>
      </c>
      <c r="B37" s="35"/>
      <c r="C37" s="35"/>
      <c r="D37" s="35"/>
      <c r="E37" s="35"/>
      <c r="F37" s="35"/>
      <c r="G37" s="35"/>
      <c r="H37" s="35"/>
      <c r="I37" s="35"/>
      <c r="J37" s="35"/>
      <c r="K37" s="35"/>
    </row>
    <row r="38" spans="1:11" ht="14.5" x14ac:dyDescent="0.35">
      <c r="A38" s="35"/>
      <c r="B38" s="35"/>
      <c r="C38" s="35"/>
      <c r="D38" s="35"/>
      <c r="E38" s="35"/>
      <c r="F38" s="35"/>
      <c r="G38" s="35"/>
      <c r="H38" s="35"/>
      <c r="I38" s="35"/>
      <c r="J38" s="35"/>
      <c r="K38" s="35"/>
    </row>
    <row r="39" spans="1:11" ht="14.5" x14ac:dyDescent="0.35">
      <c r="A39" s="45" t="s">
        <v>3</v>
      </c>
      <c r="B39" s="35"/>
      <c r="C39" s="35"/>
      <c r="D39" s="35"/>
      <c r="E39" s="35"/>
      <c r="F39" s="35"/>
      <c r="G39" s="35"/>
      <c r="H39" s="35"/>
      <c r="I39" s="35"/>
      <c r="J39" s="35"/>
      <c r="K39" s="35"/>
    </row>
    <row r="40" spans="1:11" ht="14.5" x14ac:dyDescent="0.35">
      <c r="A40" s="35"/>
      <c r="B40" s="35"/>
      <c r="C40" s="35"/>
      <c r="D40" s="35"/>
      <c r="E40" s="35"/>
      <c r="F40" s="35"/>
      <c r="G40" s="35"/>
      <c r="H40" s="35"/>
      <c r="I40" s="35"/>
      <c r="J40" s="35"/>
      <c r="K40" s="35"/>
    </row>
    <row r="41" spans="1:11" ht="14.5" x14ac:dyDescent="0.35">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2200-000000000000}"/>
    <hyperlink ref="A39" location="'Technical specifications'!A1" display="Technical specifications" xr:uid="{00000000-0004-0000-2200-000001000000}"/>
    <hyperlink ref="A41" location="Contents!A1" display="Back to contents" xr:uid="{00000000-0004-0000-2200-000002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42"/>
  <sheetViews>
    <sheetView workbookViewId="0">
      <selection sqref="A1:K1"/>
    </sheetView>
  </sheetViews>
  <sheetFormatPr defaultRowHeight="14.75" customHeight="1" x14ac:dyDescent="0.35"/>
  <cols>
    <col min="1" max="1" width="54" customWidth="1"/>
    <col min="2" max="2" width="15" customWidth="1"/>
    <col min="3" max="11" width="8.453125" customWidth="1"/>
  </cols>
  <sheetData>
    <row r="1" spans="1:11" ht="33.75" customHeight="1" x14ac:dyDescent="0.35">
      <c r="A1" s="96" t="s">
        <v>798</v>
      </c>
      <c r="B1" s="97"/>
      <c r="C1" s="97"/>
      <c r="D1" s="97"/>
      <c r="E1" s="97"/>
      <c r="F1" s="97"/>
      <c r="G1" s="97"/>
      <c r="H1" s="97"/>
      <c r="I1" s="97"/>
      <c r="J1" s="97"/>
      <c r="K1" s="97"/>
    </row>
    <row r="2" spans="1:11" ht="14.5" x14ac:dyDescent="0.35">
      <c r="A2" s="36" t="s">
        <v>276</v>
      </c>
      <c r="B2" s="36" t="s">
        <v>337</v>
      </c>
      <c r="C2" s="37" t="s">
        <v>295</v>
      </c>
      <c r="D2" s="37" t="s">
        <v>297</v>
      </c>
      <c r="E2" s="37" t="s">
        <v>298</v>
      </c>
      <c r="F2" s="37" t="s">
        <v>299</v>
      </c>
      <c r="G2" s="37" t="s">
        <v>300</v>
      </c>
      <c r="H2" s="37" t="s">
        <v>301</v>
      </c>
      <c r="I2" s="37" t="s">
        <v>302</v>
      </c>
      <c r="J2" s="37" t="s">
        <v>303</v>
      </c>
      <c r="K2" s="37" t="s">
        <v>304</v>
      </c>
    </row>
    <row r="3" spans="1:11" ht="14.5" x14ac:dyDescent="0.35">
      <c r="A3" s="38" t="s">
        <v>284</v>
      </c>
      <c r="B3" s="38" t="s">
        <v>343</v>
      </c>
      <c r="C3" s="39">
        <v>38.463900000000002</v>
      </c>
      <c r="D3" s="39">
        <v>53.889899999999997</v>
      </c>
      <c r="E3" s="39">
        <v>50.903399999999998</v>
      </c>
      <c r="F3" s="39">
        <v>48.069200000000002</v>
      </c>
      <c r="G3" s="39">
        <v>43.5321</v>
      </c>
      <c r="H3" s="39">
        <v>49.186300000000003</v>
      </c>
      <c r="I3" s="39">
        <v>54.545499999999997</v>
      </c>
      <c r="J3" s="39">
        <v>35.360599999999998</v>
      </c>
      <c r="K3" s="39">
        <v>46.244300000000003</v>
      </c>
    </row>
    <row r="4" spans="1:11" ht="14.5" x14ac:dyDescent="0.35">
      <c r="A4" s="38" t="s">
        <v>284</v>
      </c>
      <c r="B4" s="38" t="s">
        <v>344</v>
      </c>
      <c r="C4" s="39">
        <v>23.547999999999998</v>
      </c>
      <c r="D4" s="39">
        <v>39.663200000000003</v>
      </c>
      <c r="E4" s="39">
        <v>32.325600000000001</v>
      </c>
      <c r="F4" s="39">
        <v>33.462899999999998</v>
      </c>
      <c r="G4" s="39">
        <v>28.935600000000001</v>
      </c>
      <c r="H4" s="39">
        <v>33.589500000000001</v>
      </c>
      <c r="I4" s="39">
        <v>50.601199999999999</v>
      </c>
      <c r="J4" s="39">
        <v>25.287199999999999</v>
      </c>
      <c r="K4" s="39">
        <v>31.755199999999999</v>
      </c>
    </row>
    <row r="5" spans="1:11" ht="14.5" x14ac:dyDescent="0.35">
      <c r="A5" s="38" t="s">
        <v>284</v>
      </c>
      <c r="B5" s="38" t="s">
        <v>345</v>
      </c>
      <c r="C5" s="39">
        <v>20.5093</v>
      </c>
      <c r="D5" s="39">
        <v>42.767800000000001</v>
      </c>
      <c r="E5" s="39">
        <v>27.8401</v>
      </c>
      <c r="F5" s="39">
        <v>18.849599999999999</v>
      </c>
      <c r="G5" s="39">
        <v>24.066600000000001</v>
      </c>
      <c r="H5" s="39">
        <v>18.701899999999998</v>
      </c>
      <c r="I5" s="39">
        <v>43.700899999999997</v>
      </c>
      <c r="J5" s="39">
        <v>20.287600000000001</v>
      </c>
      <c r="K5" s="39">
        <v>28.709299999999999</v>
      </c>
    </row>
    <row r="6" spans="1:11" ht="14.5" x14ac:dyDescent="0.35">
      <c r="A6" s="38" t="s">
        <v>284</v>
      </c>
      <c r="B6" s="38" t="s">
        <v>346</v>
      </c>
      <c r="C6" s="39">
        <v>24.496200000000002</v>
      </c>
      <c r="D6" s="39">
        <v>48.551699999999997</v>
      </c>
      <c r="E6" s="39">
        <v>31.024999999999999</v>
      </c>
      <c r="F6" s="39">
        <v>19.738099999999999</v>
      </c>
      <c r="G6" s="39">
        <v>33.422600000000003</v>
      </c>
      <c r="H6" s="39">
        <v>17.991099999999999</v>
      </c>
      <c r="I6" s="39">
        <v>50.946199999999997</v>
      </c>
      <c r="J6" s="39">
        <v>20.761500000000002</v>
      </c>
      <c r="K6" s="39">
        <v>33.694000000000003</v>
      </c>
    </row>
    <row r="7" spans="1:11" ht="14.5" x14ac:dyDescent="0.35">
      <c r="A7" s="38" t="s">
        <v>284</v>
      </c>
      <c r="B7" s="38" t="s">
        <v>347</v>
      </c>
      <c r="C7" s="39">
        <v>43.5364</v>
      </c>
      <c r="D7" s="39">
        <v>70.109700000000004</v>
      </c>
      <c r="E7" s="39">
        <v>49.4373</v>
      </c>
      <c r="F7" s="39">
        <v>24.015699999999999</v>
      </c>
      <c r="G7" s="39">
        <v>46.7532</v>
      </c>
      <c r="H7" s="39">
        <v>34.673400000000001</v>
      </c>
      <c r="I7" s="39">
        <v>61.058799999999998</v>
      </c>
      <c r="J7" s="39">
        <v>24.7148</v>
      </c>
      <c r="K7" s="39">
        <v>51.7149</v>
      </c>
    </row>
    <row r="8" spans="1:11" ht="14.5" x14ac:dyDescent="0.35">
      <c r="A8" s="61" t="s">
        <v>284</v>
      </c>
      <c r="B8" s="69" t="s">
        <v>1304</v>
      </c>
      <c r="C8" s="62">
        <v>22.8996</v>
      </c>
      <c r="D8" s="62">
        <v>43.535299999999999</v>
      </c>
      <c r="E8" s="62">
        <v>30.771899999999999</v>
      </c>
      <c r="F8" s="62">
        <v>25.107700000000001</v>
      </c>
      <c r="G8" s="62">
        <v>28.206</v>
      </c>
      <c r="H8" s="62">
        <v>24.641400000000001</v>
      </c>
      <c r="I8" s="62">
        <v>47.522100000000002</v>
      </c>
      <c r="J8" s="62">
        <v>22.533999999999999</v>
      </c>
      <c r="K8" s="62">
        <v>31.243400000000001</v>
      </c>
    </row>
    <row r="9" spans="1:11" ht="14.5" x14ac:dyDescent="0.35">
      <c r="A9" s="38" t="s">
        <v>285</v>
      </c>
      <c r="B9" s="38" t="s">
        <v>343</v>
      </c>
      <c r="C9" s="39">
        <v>32.377699999999997</v>
      </c>
      <c r="D9" s="39">
        <v>38.685000000000002</v>
      </c>
      <c r="E9" s="39">
        <v>30.376000000000001</v>
      </c>
      <c r="F9" s="39">
        <v>29.071899999999999</v>
      </c>
      <c r="G9" s="39">
        <v>39.167099999999998</v>
      </c>
      <c r="H9" s="39">
        <v>44.351500000000001</v>
      </c>
      <c r="I9" s="39">
        <v>43.636400000000002</v>
      </c>
      <c r="J9" s="39">
        <v>54.237299999999998</v>
      </c>
      <c r="K9" s="39">
        <v>34.407499999999999</v>
      </c>
    </row>
    <row r="10" spans="1:11" ht="14.5" x14ac:dyDescent="0.35">
      <c r="A10" s="38" t="s">
        <v>285</v>
      </c>
      <c r="B10" s="38" t="s">
        <v>344</v>
      </c>
      <c r="C10" s="39">
        <v>26.778600000000001</v>
      </c>
      <c r="D10" s="39">
        <v>32.156799999999997</v>
      </c>
      <c r="E10" s="39">
        <v>30.977599999999999</v>
      </c>
      <c r="F10" s="39">
        <v>21.714700000000001</v>
      </c>
      <c r="G10" s="39">
        <v>32.783700000000003</v>
      </c>
      <c r="H10" s="39">
        <v>16.516400000000001</v>
      </c>
      <c r="I10" s="39">
        <v>61.018700000000003</v>
      </c>
      <c r="J10" s="39">
        <v>41.349699999999999</v>
      </c>
      <c r="K10" s="39">
        <v>29.8933</v>
      </c>
    </row>
    <row r="11" spans="1:11" ht="14.5" x14ac:dyDescent="0.35">
      <c r="A11" s="38" t="s">
        <v>285</v>
      </c>
      <c r="B11" s="38" t="s">
        <v>345</v>
      </c>
      <c r="C11" s="39">
        <v>20.1873</v>
      </c>
      <c r="D11" s="39">
        <v>26.5365</v>
      </c>
      <c r="E11" s="39">
        <v>28.519300000000001</v>
      </c>
      <c r="F11" s="39">
        <v>9.7506000000000004</v>
      </c>
      <c r="G11" s="39">
        <v>18.3385</v>
      </c>
      <c r="H11" s="39">
        <v>10.0046</v>
      </c>
      <c r="I11" s="39">
        <v>47.6417</v>
      </c>
      <c r="J11" s="39">
        <v>38.236800000000002</v>
      </c>
      <c r="K11" s="39">
        <v>24.288</v>
      </c>
    </row>
    <row r="12" spans="1:11" ht="14.5" x14ac:dyDescent="0.35">
      <c r="A12" s="38" t="s">
        <v>285</v>
      </c>
      <c r="B12" s="38" t="s">
        <v>346</v>
      </c>
      <c r="C12" s="39">
        <v>24.904599999999999</v>
      </c>
      <c r="D12" s="39">
        <v>31.011800000000001</v>
      </c>
      <c r="E12" s="39">
        <v>30.8292</v>
      </c>
      <c r="F12" s="39">
        <v>10.1965</v>
      </c>
      <c r="G12" s="39">
        <v>17.890499999999999</v>
      </c>
      <c r="H12" s="39">
        <v>14.386699999999999</v>
      </c>
      <c r="I12" s="39">
        <v>50.560499999999998</v>
      </c>
      <c r="J12" s="39">
        <v>34.203000000000003</v>
      </c>
      <c r="K12" s="39">
        <v>27.3873</v>
      </c>
    </row>
    <row r="13" spans="1:11" ht="14.5" x14ac:dyDescent="0.35">
      <c r="A13" s="38" t="s">
        <v>285</v>
      </c>
      <c r="B13" s="38" t="s">
        <v>347</v>
      </c>
      <c r="C13" s="39">
        <v>43.206699999999998</v>
      </c>
      <c r="D13" s="39">
        <v>43.762900000000002</v>
      </c>
      <c r="E13" s="39">
        <v>44.4617</v>
      </c>
      <c r="F13" s="39">
        <v>17.701899999999998</v>
      </c>
      <c r="G13" s="39">
        <v>24.363099999999999</v>
      </c>
      <c r="H13" s="39">
        <v>42.384099999999997</v>
      </c>
      <c r="I13" s="39">
        <v>51.834899999999998</v>
      </c>
      <c r="J13" s="39">
        <v>38.121499999999997</v>
      </c>
      <c r="K13" s="39">
        <v>41.502499999999998</v>
      </c>
    </row>
    <row r="14" spans="1:11" ht="14.5" x14ac:dyDescent="0.35">
      <c r="A14" s="61" t="s">
        <v>285</v>
      </c>
      <c r="B14" s="69" t="s">
        <v>1304</v>
      </c>
      <c r="C14" s="62">
        <v>23.542899999999999</v>
      </c>
      <c r="D14" s="62">
        <v>29.2928</v>
      </c>
      <c r="E14" s="62">
        <v>29.714200000000002</v>
      </c>
      <c r="F14" s="62">
        <v>14.3653</v>
      </c>
      <c r="G14" s="62">
        <v>22.991199999999999</v>
      </c>
      <c r="H14" s="62">
        <v>13.750400000000001</v>
      </c>
      <c r="I14" s="62">
        <v>51.079000000000001</v>
      </c>
      <c r="J14" s="62">
        <v>38.58</v>
      </c>
      <c r="K14" s="62">
        <v>26.848199999999999</v>
      </c>
    </row>
    <row r="15" spans="1:11" ht="14.5" x14ac:dyDescent="0.35">
      <c r="A15" s="38" t="s">
        <v>286</v>
      </c>
      <c r="B15" s="38" t="s">
        <v>343</v>
      </c>
      <c r="C15" s="39">
        <v>22.953299999999999</v>
      </c>
      <c r="D15" s="39">
        <v>30.047699999999999</v>
      </c>
      <c r="E15" s="39">
        <v>29.441199999999998</v>
      </c>
      <c r="F15" s="39">
        <v>32.185600000000001</v>
      </c>
      <c r="G15" s="39">
        <v>41.860500000000002</v>
      </c>
      <c r="H15" s="39">
        <v>25</v>
      </c>
      <c r="I15" s="39" t="s">
        <v>1278</v>
      </c>
      <c r="J15" s="39" t="s">
        <v>1278</v>
      </c>
      <c r="K15" s="39">
        <v>28.810700000000001</v>
      </c>
    </row>
    <row r="16" spans="1:11" ht="14.5" x14ac:dyDescent="0.35">
      <c r="A16" s="38" t="s">
        <v>286</v>
      </c>
      <c r="B16" s="38" t="s">
        <v>344</v>
      </c>
      <c r="C16" s="39">
        <v>25.231300000000001</v>
      </c>
      <c r="D16" s="39">
        <v>38.098599999999998</v>
      </c>
      <c r="E16" s="39">
        <v>41.878300000000003</v>
      </c>
      <c r="F16" s="39">
        <v>34.383499999999998</v>
      </c>
      <c r="G16" s="39">
        <v>34.243000000000002</v>
      </c>
      <c r="H16" s="39">
        <v>25.764700000000001</v>
      </c>
      <c r="I16" s="39" t="s">
        <v>1278</v>
      </c>
      <c r="J16" s="39" t="s">
        <v>1278</v>
      </c>
      <c r="K16" s="39">
        <v>35.128300000000003</v>
      </c>
    </row>
    <row r="17" spans="1:11" ht="14.5" x14ac:dyDescent="0.35">
      <c r="A17" s="38" t="s">
        <v>286</v>
      </c>
      <c r="B17" s="38" t="s">
        <v>345</v>
      </c>
      <c r="C17" s="39">
        <v>22.867599999999999</v>
      </c>
      <c r="D17" s="39">
        <v>37.081699999999998</v>
      </c>
      <c r="E17" s="39">
        <v>35.276600000000002</v>
      </c>
      <c r="F17" s="39">
        <v>23.775099999999998</v>
      </c>
      <c r="G17" s="39">
        <v>26.289300000000001</v>
      </c>
      <c r="H17" s="39">
        <v>25.455500000000001</v>
      </c>
      <c r="I17" s="39" t="s">
        <v>1278</v>
      </c>
      <c r="J17" s="39" t="s">
        <v>1278</v>
      </c>
      <c r="K17" s="39">
        <v>30.506599999999999</v>
      </c>
    </row>
    <row r="18" spans="1:11" ht="14.5" x14ac:dyDescent="0.35">
      <c r="A18" s="38" t="s">
        <v>286</v>
      </c>
      <c r="B18" s="38" t="s">
        <v>346</v>
      </c>
      <c r="C18" s="39">
        <v>27.7578</v>
      </c>
      <c r="D18" s="39">
        <v>48.163899999999998</v>
      </c>
      <c r="E18" s="39">
        <v>39.562800000000003</v>
      </c>
      <c r="F18" s="39">
        <v>26.031300000000002</v>
      </c>
      <c r="G18" s="39">
        <v>27.5931</v>
      </c>
      <c r="H18" s="39">
        <v>28.908200000000001</v>
      </c>
      <c r="I18" s="39" t="s">
        <v>1278</v>
      </c>
      <c r="J18" s="39" t="s">
        <v>1278</v>
      </c>
      <c r="K18" s="39">
        <v>36.307899999999997</v>
      </c>
    </row>
    <row r="19" spans="1:11" ht="14.5" x14ac:dyDescent="0.35">
      <c r="A19" s="38" t="s">
        <v>286</v>
      </c>
      <c r="B19" s="38" t="s">
        <v>347</v>
      </c>
      <c r="C19" s="39">
        <v>60.275399999999998</v>
      </c>
      <c r="D19" s="39">
        <v>51.698099999999997</v>
      </c>
      <c r="E19" s="39">
        <v>48.387099999999997</v>
      </c>
      <c r="F19" s="39">
        <v>42.194099999999999</v>
      </c>
      <c r="G19" s="39">
        <v>55.135100000000001</v>
      </c>
      <c r="H19" s="39">
        <v>60</v>
      </c>
      <c r="I19" s="39" t="s">
        <v>1278</v>
      </c>
      <c r="J19" s="39" t="s">
        <v>1278</v>
      </c>
      <c r="K19" s="39">
        <v>55.9345</v>
      </c>
    </row>
    <row r="20" spans="1:11" ht="14.5" x14ac:dyDescent="0.35">
      <c r="A20" s="61" t="s">
        <v>286</v>
      </c>
      <c r="B20" s="69" t="s">
        <v>1304</v>
      </c>
      <c r="C20" s="62">
        <v>25.5962</v>
      </c>
      <c r="D20" s="62">
        <v>39.878300000000003</v>
      </c>
      <c r="E20" s="62">
        <v>37.851999999999997</v>
      </c>
      <c r="F20" s="62">
        <v>27.475300000000001</v>
      </c>
      <c r="G20" s="62">
        <v>29.059799999999999</v>
      </c>
      <c r="H20" s="62">
        <v>26.563300000000002</v>
      </c>
      <c r="I20" s="62" t="s">
        <v>1278</v>
      </c>
      <c r="J20" s="62" t="s">
        <v>1278</v>
      </c>
      <c r="K20" s="62">
        <v>33.181100000000001</v>
      </c>
    </row>
    <row r="21" spans="1:11" ht="14.5" x14ac:dyDescent="0.35">
      <c r="A21" s="38" t="s">
        <v>287</v>
      </c>
      <c r="B21" s="38" t="s">
        <v>343</v>
      </c>
      <c r="C21" s="39">
        <v>23.188400000000001</v>
      </c>
      <c r="D21" s="39">
        <v>39.743600000000001</v>
      </c>
      <c r="E21" s="39" t="s">
        <v>1278</v>
      </c>
      <c r="F21" s="39">
        <v>27.8431</v>
      </c>
      <c r="G21" s="39">
        <v>43.932000000000002</v>
      </c>
      <c r="H21" s="39" t="s">
        <v>1278</v>
      </c>
      <c r="I21" s="39" t="s">
        <v>1278</v>
      </c>
      <c r="J21" s="39">
        <v>25.7576</v>
      </c>
      <c r="K21" s="39">
        <v>34.0792</v>
      </c>
    </row>
    <row r="22" spans="1:11" ht="14.5" x14ac:dyDescent="0.35">
      <c r="A22" s="38" t="s">
        <v>287</v>
      </c>
      <c r="B22" s="38" t="s">
        <v>344</v>
      </c>
      <c r="C22" s="39">
        <v>26.673500000000001</v>
      </c>
      <c r="D22" s="39">
        <v>38.6633</v>
      </c>
      <c r="E22" s="39" t="s">
        <v>1278</v>
      </c>
      <c r="F22" s="39">
        <v>27.462299999999999</v>
      </c>
      <c r="G22" s="39">
        <v>40.035600000000002</v>
      </c>
      <c r="H22" s="39" t="s">
        <v>1278</v>
      </c>
      <c r="I22" s="39" t="s">
        <v>1278</v>
      </c>
      <c r="J22" s="39">
        <v>34.157499999999999</v>
      </c>
      <c r="K22" s="39">
        <v>33.4694</v>
      </c>
    </row>
    <row r="23" spans="1:11" ht="14.5" x14ac:dyDescent="0.35">
      <c r="A23" s="38" t="s">
        <v>287</v>
      </c>
      <c r="B23" s="38" t="s">
        <v>345</v>
      </c>
      <c r="C23" s="39">
        <v>31.129300000000001</v>
      </c>
      <c r="D23" s="39">
        <v>36.195099999999996</v>
      </c>
      <c r="E23" s="39" t="s">
        <v>1278</v>
      </c>
      <c r="F23" s="39">
        <v>29.192499999999999</v>
      </c>
      <c r="G23" s="39">
        <v>36.533099999999997</v>
      </c>
      <c r="H23" s="39" t="s">
        <v>1278</v>
      </c>
      <c r="I23" s="39" t="s">
        <v>1278</v>
      </c>
      <c r="J23" s="39">
        <v>31.2316</v>
      </c>
      <c r="K23" s="39">
        <v>33.2226</v>
      </c>
    </row>
    <row r="24" spans="1:11" ht="14.5" x14ac:dyDescent="0.35">
      <c r="A24" s="38" t="s">
        <v>287</v>
      </c>
      <c r="B24" s="38" t="s">
        <v>346</v>
      </c>
      <c r="C24" s="39">
        <v>37.3491</v>
      </c>
      <c r="D24" s="39">
        <v>45.419800000000002</v>
      </c>
      <c r="E24" s="39" t="s">
        <v>1278</v>
      </c>
      <c r="F24" s="39">
        <v>35.438000000000002</v>
      </c>
      <c r="G24" s="39">
        <v>39.112400000000001</v>
      </c>
      <c r="H24" s="39" t="s">
        <v>1278</v>
      </c>
      <c r="I24" s="39" t="s">
        <v>1278</v>
      </c>
      <c r="J24" s="39">
        <v>30.867699999999999</v>
      </c>
      <c r="K24" s="39">
        <v>38.614100000000001</v>
      </c>
    </row>
    <row r="25" spans="1:11" ht="14.5" x14ac:dyDescent="0.35">
      <c r="A25" s="38" t="s">
        <v>287</v>
      </c>
      <c r="B25" s="38" t="s">
        <v>347</v>
      </c>
      <c r="C25" s="39">
        <v>48.178600000000003</v>
      </c>
      <c r="D25" s="39">
        <v>70.258600000000001</v>
      </c>
      <c r="E25" s="39" t="s">
        <v>1278</v>
      </c>
      <c r="F25" s="39">
        <v>53.830599999999997</v>
      </c>
      <c r="G25" s="39">
        <v>61.039000000000001</v>
      </c>
      <c r="H25" s="39" t="s">
        <v>1278</v>
      </c>
      <c r="I25" s="39" t="s">
        <v>1278</v>
      </c>
      <c r="J25" s="39">
        <v>39.830500000000001</v>
      </c>
      <c r="K25" s="39">
        <v>55.1389</v>
      </c>
    </row>
    <row r="26" spans="1:11" ht="14.5" x14ac:dyDescent="0.35">
      <c r="A26" s="61" t="s">
        <v>287</v>
      </c>
      <c r="B26" s="69" t="s">
        <v>1304</v>
      </c>
      <c r="C26" s="62">
        <v>32.3249</v>
      </c>
      <c r="D26" s="62">
        <v>39.610500000000002</v>
      </c>
      <c r="E26" s="62" t="s">
        <v>1278</v>
      </c>
      <c r="F26" s="62">
        <v>30.8874</v>
      </c>
      <c r="G26" s="62">
        <v>38.2226</v>
      </c>
      <c r="H26" s="62" t="s">
        <v>1278</v>
      </c>
      <c r="I26" s="62" t="s">
        <v>1278</v>
      </c>
      <c r="J26" s="62">
        <v>31.9542</v>
      </c>
      <c r="K26" s="62">
        <v>35.0169</v>
      </c>
    </row>
    <row r="27" spans="1:11" ht="14.5" x14ac:dyDescent="0.35">
      <c r="A27" s="46" t="s">
        <v>289</v>
      </c>
      <c r="B27" s="46" t="s">
        <v>343</v>
      </c>
      <c r="C27" s="47">
        <v>34.980499999999999</v>
      </c>
      <c r="D27" s="47">
        <v>45.772599999999997</v>
      </c>
      <c r="E27" s="47">
        <v>41.6783</v>
      </c>
      <c r="F27" s="47">
        <v>41.665500000000002</v>
      </c>
      <c r="G27" s="47">
        <v>42.193199999999997</v>
      </c>
      <c r="H27" s="47">
        <v>46.609400000000001</v>
      </c>
      <c r="I27" s="47">
        <v>52.363599999999998</v>
      </c>
      <c r="J27" s="47">
        <v>37.4589</v>
      </c>
      <c r="K27" s="47">
        <v>40.745399999999997</v>
      </c>
    </row>
    <row r="28" spans="1:11" ht="14.5" x14ac:dyDescent="0.35">
      <c r="A28" s="46" t="s">
        <v>289</v>
      </c>
      <c r="B28" s="46" t="s">
        <v>344</v>
      </c>
      <c r="C28" s="47">
        <v>25.501300000000001</v>
      </c>
      <c r="D28" s="47">
        <v>36.545499999999997</v>
      </c>
      <c r="E28" s="47">
        <v>33.094900000000003</v>
      </c>
      <c r="F28" s="47">
        <v>29.839099999999998</v>
      </c>
      <c r="G28" s="47">
        <v>31.299900000000001</v>
      </c>
      <c r="H28" s="47">
        <v>26.603000000000002</v>
      </c>
      <c r="I28" s="47">
        <v>53.608699999999999</v>
      </c>
      <c r="J28" s="47">
        <v>31.485600000000002</v>
      </c>
      <c r="K28" s="47">
        <v>31.6694</v>
      </c>
    </row>
    <row r="29" spans="1:11" ht="14.5" x14ac:dyDescent="0.35">
      <c r="A29" s="46" t="s">
        <v>289</v>
      </c>
      <c r="B29" s="46" t="s">
        <v>345</v>
      </c>
      <c r="C29" s="47">
        <v>21.7256</v>
      </c>
      <c r="D29" s="47">
        <v>34.741799999999998</v>
      </c>
      <c r="E29" s="47">
        <v>29.363399999999999</v>
      </c>
      <c r="F29" s="47">
        <v>18.139099999999999</v>
      </c>
      <c r="G29" s="47">
        <v>24.219100000000001</v>
      </c>
      <c r="H29" s="47">
        <v>15.679500000000001</v>
      </c>
      <c r="I29" s="47">
        <v>45.1081</v>
      </c>
      <c r="J29" s="47">
        <v>28.505400000000002</v>
      </c>
      <c r="K29" s="47">
        <v>27.526599999999998</v>
      </c>
    </row>
    <row r="30" spans="1:11" ht="14.5" x14ac:dyDescent="0.35">
      <c r="A30" s="46" t="s">
        <v>289</v>
      </c>
      <c r="B30" s="46" t="s">
        <v>346</v>
      </c>
      <c r="C30" s="47">
        <v>26.862200000000001</v>
      </c>
      <c r="D30" s="47">
        <v>41.1646</v>
      </c>
      <c r="E30" s="47">
        <v>32.131300000000003</v>
      </c>
      <c r="F30" s="47">
        <v>20.603899999999999</v>
      </c>
      <c r="G30" s="47">
        <v>28.187799999999999</v>
      </c>
      <c r="H30" s="47">
        <v>17.8093</v>
      </c>
      <c r="I30" s="47">
        <v>50.823799999999999</v>
      </c>
      <c r="J30" s="47">
        <v>26.096</v>
      </c>
      <c r="K30" s="47">
        <v>32.1676</v>
      </c>
    </row>
    <row r="31" spans="1:11" ht="14.5" x14ac:dyDescent="0.35">
      <c r="A31" s="46" t="s">
        <v>289</v>
      </c>
      <c r="B31" s="46" t="s">
        <v>347</v>
      </c>
      <c r="C31" s="47">
        <v>48.888599999999997</v>
      </c>
      <c r="D31" s="47">
        <v>58.751300000000001</v>
      </c>
      <c r="E31" s="47">
        <v>47.842100000000002</v>
      </c>
      <c r="F31" s="47">
        <v>35.8889</v>
      </c>
      <c r="G31" s="47">
        <v>40.934899999999999</v>
      </c>
      <c r="H31" s="47">
        <v>39.736800000000002</v>
      </c>
      <c r="I31" s="47">
        <v>59.176000000000002</v>
      </c>
      <c r="J31" s="47">
        <v>34.523800000000001</v>
      </c>
      <c r="K31" s="47">
        <v>49.517899999999997</v>
      </c>
    </row>
    <row r="32" spans="1:11" ht="15" thickBot="1" x14ac:dyDescent="0.4">
      <c r="A32" s="41" t="s">
        <v>289</v>
      </c>
      <c r="B32" s="70" t="s">
        <v>1281</v>
      </c>
      <c r="C32" s="42">
        <v>24.476800000000001</v>
      </c>
      <c r="D32" s="42">
        <v>36.8371</v>
      </c>
      <c r="E32" s="42">
        <v>31.353000000000002</v>
      </c>
      <c r="F32" s="42">
        <v>23.118600000000001</v>
      </c>
      <c r="G32" s="42">
        <v>27.898099999999999</v>
      </c>
      <c r="H32" s="42">
        <v>20.471</v>
      </c>
      <c r="I32" s="42">
        <v>48.688600000000001</v>
      </c>
      <c r="J32" s="42">
        <v>29.161999999999999</v>
      </c>
      <c r="K32" s="42">
        <v>30.085799999999999</v>
      </c>
    </row>
    <row r="33" spans="1:11" ht="14.5" x14ac:dyDescent="0.35">
      <c r="A33" s="98" t="s">
        <v>796</v>
      </c>
      <c r="B33" s="99"/>
      <c r="C33" s="99"/>
      <c r="D33" s="99"/>
      <c r="E33" s="99"/>
      <c r="F33" s="99"/>
      <c r="G33" s="99"/>
      <c r="H33" s="99"/>
      <c r="I33" s="99"/>
      <c r="J33" s="99"/>
      <c r="K33" s="99"/>
    </row>
    <row r="34" spans="1:11" ht="14.5" x14ac:dyDescent="0.35">
      <c r="A34" s="98" t="s">
        <v>799</v>
      </c>
      <c r="B34" s="99"/>
      <c r="C34" s="99"/>
      <c r="D34" s="99"/>
      <c r="E34" s="99"/>
      <c r="F34" s="99"/>
      <c r="G34" s="99"/>
      <c r="H34" s="99"/>
      <c r="I34" s="99"/>
      <c r="J34" s="99"/>
      <c r="K34" s="99"/>
    </row>
    <row r="35" spans="1:11" ht="14.5" x14ac:dyDescent="0.35">
      <c r="A35" s="98" t="s">
        <v>800</v>
      </c>
      <c r="B35" s="99"/>
      <c r="C35" s="99"/>
      <c r="D35" s="99"/>
      <c r="E35" s="99"/>
      <c r="F35" s="99"/>
      <c r="G35" s="99"/>
      <c r="H35" s="99"/>
      <c r="I35" s="99"/>
      <c r="J35" s="99"/>
      <c r="K35" s="99"/>
    </row>
    <row r="36" spans="1:11" ht="14.5" x14ac:dyDescent="0.35">
      <c r="A36" s="44"/>
      <c r="B36" s="35"/>
      <c r="C36" s="35"/>
      <c r="D36" s="35"/>
      <c r="E36" s="35"/>
      <c r="F36" s="35"/>
      <c r="G36" s="35"/>
      <c r="H36" s="35"/>
      <c r="I36" s="35"/>
      <c r="J36" s="35"/>
      <c r="K36" s="35"/>
    </row>
    <row r="37" spans="1:11" ht="14.5" x14ac:dyDescent="0.35">
      <c r="A37" s="35" t="s">
        <v>290</v>
      </c>
      <c r="B37" s="35"/>
      <c r="C37" s="35"/>
      <c r="D37" s="35"/>
      <c r="E37" s="35"/>
      <c r="F37" s="35"/>
      <c r="G37" s="35"/>
      <c r="H37" s="35"/>
      <c r="I37" s="35"/>
      <c r="J37" s="35"/>
      <c r="K37" s="35"/>
    </row>
    <row r="38" spans="1:11" ht="14.5" x14ac:dyDescent="0.35">
      <c r="A38" s="45" t="s">
        <v>291</v>
      </c>
      <c r="B38" s="35"/>
      <c r="C38" s="35"/>
      <c r="D38" s="35"/>
      <c r="E38" s="35"/>
      <c r="F38" s="35"/>
      <c r="G38" s="35"/>
      <c r="H38" s="35"/>
      <c r="I38" s="35"/>
      <c r="J38" s="35"/>
      <c r="K38" s="35"/>
    </row>
    <row r="39" spans="1:11" ht="14.5" x14ac:dyDescent="0.35">
      <c r="A39" s="35"/>
      <c r="B39" s="35"/>
      <c r="C39" s="35"/>
      <c r="D39" s="35"/>
      <c r="E39" s="35"/>
      <c r="F39" s="35"/>
      <c r="G39" s="35"/>
      <c r="H39" s="35"/>
      <c r="I39" s="35"/>
      <c r="J39" s="35"/>
      <c r="K39" s="35"/>
    </row>
    <row r="40" spans="1:11" ht="14.5" x14ac:dyDescent="0.35">
      <c r="A40" s="45" t="s">
        <v>3</v>
      </c>
      <c r="B40" s="35"/>
      <c r="C40" s="35"/>
      <c r="D40" s="35"/>
      <c r="E40" s="35"/>
      <c r="F40" s="35"/>
      <c r="G40" s="35"/>
      <c r="H40" s="35"/>
      <c r="I40" s="35"/>
      <c r="J40" s="35"/>
      <c r="K40" s="35"/>
    </row>
    <row r="41" spans="1:11" ht="14.5" x14ac:dyDescent="0.35">
      <c r="A41" s="35"/>
      <c r="B41" s="35"/>
      <c r="C41" s="35"/>
      <c r="D41" s="35"/>
      <c r="E41" s="35"/>
      <c r="F41" s="35"/>
      <c r="G41" s="35"/>
      <c r="H41" s="35"/>
      <c r="I41" s="35"/>
      <c r="J41" s="35"/>
      <c r="K41" s="35"/>
    </row>
    <row r="42" spans="1:11" ht="14.5" x14ac:dyDescent="0.35">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2300-000000000000}"/>
    <hyperlink ref="A40" location="'Technical specifications'!A1" display="Technical specifications" xr:uid="{00000000-0004-0000-2300-000001000000}"/>
    <hyperlink ref="A42" location="Contents!A1" display="Back to contents" xr:uid="{00000000-0004-0000-2300-000002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42"/>
  <sheetViews>
    <sheetView workbookViewId="0">
      <selection sqref="A1:K1"/>
    </sheetView>
  </sheetViews>
  <sheetFormatPr defaultRowHeight="14.75" customHeight="1" x14ac:dyDescent="0.35"/>
  <cols>
    <col min="1" max="1" width="54" customWidth="1"/>
    <col min="2" max="2" width="15" customWidth="1"/>
    <col min="3" max="11" width="8.453125" customWidth="1"/>
  </cols>
  <sheetData>
    <row r="1" spans="1:11" ht="33.75" customHeight="1" x14ac:dyDescent="0.35">
      <c r="A1" s="96" t="s">
        <v>801</v>
      </c>
      <c r="B1" s="97"/>
      <c r="C1" s="97"/>
      <c r="D1" s="97"/>
      <c r="E1" s="97"/>
      <c r="F1" s="97"/>
      <c r="G1" s="97"/>
      <c r="H1" s="97"/>
      <c r="I1" s="97"/>
      <c r="J1" s="97"/>
      <c r="K1" s="97"/>
    </row>
    <row r="2" spans="1:11" ht="14.5" x14ac:dyDescent="0.35">
      <c r="A2" s="36" t="s">
        <v>276</v>
      </c>
      <c r="B2" s="36" t="s">
        <v>337</v>
      </c>
      <c r="C2" s="37" t="s">
        <v>295</v>
      </c>
      <c r="D2" s="37" t="s">
        <v>297</v>
      </c>
      <c r="E2" s="37" t="s">
        <v>298</v>
      </c>
      <c r="F2" s="37" t="s">
        <v>299</v>
      </c>
      <c r="G2" s="37" t="s">
        <v>300</v>
      </c>
      <c r="H2" s="37" t="s">
        <v>301</v>
      </c>
      <c r="I2" s="37" t="s">
        <v>302</v>
      </c>
      <c r="J2" s="37" t="s">
        <v>303</v>
      </c>
      <c r="K2" s="37" t="s">
        <v>304</v>
      </c>
    </row>
    <row r="3" spans="1:11" ht="14.5" x14ac:dyDescent="0.35">
      <c r="A3" s="38" t="s">
        <v>284</v>
      </c>
      <c r="B3" s="38" t="s">
        <v>343</v>
      </c>
      <c r="C3" s="39">
        <v>39.3748</v>
      </c>
      <c r="D3" s="39">
        <v>43.144599999999997</v>
      </c>
      <c r="E3" s="39">
        <v>40.182400000000001</v>
      </c>
      <c r="F3" s="39">
        <v>45.595399999999998</v>
      </c>
      <c r="G3" s="39">
        <v>40.818399999999997</v>
      </c>
      <c r="H3" s="39">
        <v>43.157899999999998</v>
      </c>
      <c r="I3" s="39">
        <v>37.241399999999999</v>
      </c>
      <c r="J3" s="39">
        <v>48.192799999999998</v>
      </c>
      <c r="K3" s="39">
        <v>41.121099999999998</v>
      </c>
    </row>
    <row r="4" spans="1:11" ht="14.5" x14ac:dyDescent="0.35">
      <c r="A4" s="38" t="s">
        <v>284</v>
      </c>
      <c r="B4" s="38" t="s">
        <v>344</v>
      </c>
      <c r="C4" s="39">
        <v>41.526499999999999</v>
      </c>
      <c r="D4" s="39">
        <v>50.890300000000003</v>
      </c>
      <c r="E4" s="39">
        <v>48.058500000000002</v>
      </c>
      <c r="F4" s="39">
        <v>56.983400000000003</v>
      </c>
      <c r="G4" s="39">
        <v>45.768900000000002</v>
      </c>
      <c r="H4" s="39">
        <v>49.117600000000003</v>
      </c>
      <c r="I4" s="39">
        <v>62.842100000000002</v>
      </c>
      <c r="J4" s="39">
        <v>40.317300000000003</v>
      </c>
      <c r="K4" s="39">
        <v>47.199800000000003</v>
      </c>
    </row>
    <row r="5" spans="1:11" ht="14.5" x14ac:dyDescent="0.35">
      <c r="A5" s="38" t="s">
        <v>284</v>
      </c>
      <c r="B5" s="38" t="s">
        <v>345</v>
      </c>
      <c r="C5" s="39">
        <v>49.460700000000003</v>
      </c>
      <c r="D5" s="39">
        <v>59.649700000000003</v>
      </c>
      <c r="E5" s="39">
        <v>52.585999999999999</v>
      </c>
      <c r="F5" s="39">
        <v>49.889699999999998</v>
      </c>
      <c r="G5" s="39">
        <v>46.396599999999999</v>
      </c>
      <c r="H5" s="39">
        <v>49.209800000000001</v>
      </c>
      <c r="I5" s="39">
        <v>66.219200000000001</v>
      </c>
      <c r="J5" s="39">
        <v>45.044199999999996</v>
      </c>
      <c r="K5" s="39">
        <v>52.264800000000001</v>
      </c>
    </row>
    <row r="6" spans="1:11" ht="14.5" x14ac:dyDescent="0.35">
      <c r="A6" s="38" t="s">
        <v>284</v>
      </c>
      <c r="B6" s="38" t="s">
        <v>346</v>
      </c>
      <c r="C6" s="39">
        <v>65.849199999999996</v>
      </c>
      <c r="D6" s="39">
        <v>72.433000000000007</v>
      </c>
      <c r="E6" s="39">
        <v>68.612799999999993</v>
      </c>
      <c r="F6" s="39">
        <v>63.214700000000001</v>
      </c>
      <c r="G6" s="39">
        <v>63.587000000000003</v>
      </c>
      <c r="H6" s="39">
        <v>57.606499999999997</v>
      </c>
      <c r="I6" s="39">
        <v>75.972200000000001</v>
      </c>
      <c r="J6" s="39">
        <v>56.204099999999997</v>
      </c>
      <c r="K6" s="39">
        <v>67.0715</v>
      </c>
    </row>
    <row r="7" spans="1:11" ht="14.5" x14ac:dyDescent="0.35">
      <c r="A7" s="38" t="s">
        <v>284</v>
      </c>
      <c r="B7" s="38" t="s">
        <v>347</v>
      </c>
      <c r="C7" s="39">
        <v>80.342100000000002</v>
      </c>
      <c r="D7" s="39">
        <v>84.971199999999996</v>
      </c>
      <c r="E7" s="39">
        <v>79.829599999999999</v>
      </c>
      <c r="F7" s="39">
        <v>71.809200000000004</v>
      </c>
      <c r="G7" s="39">
        <v>74.575500000000005</v>
      </c>
      <c r="H7" s="39">
        <v>70.017499999999998</v>
      </c>
      <c r="I7" s="39">
        <v>86.615200000000002</v>
      </c>
      <c r="J7" s="39">
        <v>66.241799999999998</v>
      </c>
      <c r="K7" s="39">
        <v>80.082800000000006</v>
      </c>
    </row>
    <row r="8" spans="1:11" ht="14.5" x14ac:dyDescent="0.35">
      <c r="A8" s="61" t="s">
        <v>284</v>
      </c>
      <c r="B8" s="69" t="s">
        <v>1304</v>
      </c>
      <c r="C8" s="62">
        <v>57.048099999999998</v>
      </c>
      <c r="D8" s="62">
        <v>66.1006</v>
      </c>
      <c r="E8" s="62">
        <v>59.398299999999999</v>
      </c>
      <c r="F8" s="62">
        <v>57.258800000000001</v>
      </c>
      <c r="G8" s="62">
        <v>53.789900000000003</v>
      </c>
      <c r="H8" s="62">
        <v>53.685600000000001</v>
      </c>
      <c r="I8" s="62">
        <v>72.1173</v>
      </c>
      <c r="J8" s="62">
        <v>51.515000000000001</v>
      </c>
      <c r="K8" s="62">
        <v>59.274500000000003</v>
      </c>
    </row>
    <row r="9" spans="1:11" ht="14.5" x14ac:dyDescent="0.35">
      <c r="A9" s="38" t="s">
        <v>285</v>
      </c>
      <c r="B9" s="38" t="s">
        <v>343</v>
      </c>
      <c r="C9" s="39">
        <v>41.369399999999999</v>
      </c>
      <c r="D9" s="39">
        <v>33.021099999999997</v>
      </c>
      <c r="E9" s="39">
        <v>40.363999999999997</v>
      </c>
      <c r="F9" s="39">
        <v>44.3249</v>
      </c>
      <c r="G9" s="39">
        <v>43.010800000000003</v>
      </c>
      <c r="H9" s="39">
        <v>37.238500000000002</v>
      </c>
      <c r="I9" s="39">
        <v>36.619700000000002</v>
      </c>
      <c r="J9" s="39">
        <v>76.923100000000005</v>
      </c>
      <c r="K9" s="39">
        <v>39.244599999999998</v>
      </c>
    </row>
    <row r="10" spans="1:11" ht="14.5" x14ac:dyDescent="0.35">
      <c r="A10" s="38" t="s">
        <v>285</v>
      </c>
      <c r="B10" s="38" t="s">
        <v>344</v>
      </c>
      <c r="C10" s="39">
        <v>51.320300000000003</v>
      </c>
      <c r="D10" s="39">
        <v>47.828099999999999</v>
      </c>
      <c r="E10" s="39">
        <v>45.111800000000002</v>
      </c>
      <c r="F10" s="39">
        <v>48.951999999999998</v>
      </c>
      <c r="G10" s="39">
        <v>39.638500000000001</v>
      </c>
      <c r="H10" s="39">
        <v>42.997500000000002</v>
      </c>
      <c r="I10" s="39">
        <v>56.338000000000001</v>
      </c>
      <c r="J10" s="39">
        <v>73.403300000000002</v>
      </c>
      <c r="K10" s="39">
        <v>48.051299999999998</v>
      </c>
    </row>
    <row r="11" spans="1:11" ht="14.5" x14ac:dyDescent="0.35">
      <c r="A11" s="38" t="s">
        <v>285</v>
      </c>
      <c r="B11" s="38" t="s">
        <v>345</v>
      </c>
      <c r="C11" s="39">
        <v>53.4283</v>
      </c>
      <c r="D11" s="39">
        <v>50.662999999999997</v>
      </c>
      <c r="E11" s="39">
        <v>50.1691</v>
      </c>
      <c r="F11" s="39">
        <v>45.937100000000001</v>
      </c>
      <c r="G11" s="39">
        <v>35.698399999999999</v>
      </c>
      <c r="H11" s="39">
        <v>46.704700000000003</v>
      </c>
      <c r="I11" s="39">
        <v>56.374400000000001</v>
      </c>
      <c r="J11" s="39">
        <v>76.828100000000006</v>
      </c>
      <c r="K11" s="39">
        <v>50.295699999999997</v>
      </c>
    </row>
    <row r="12" spans="1:11" ht="14.5" x14ac:dyDescent="0.35">
      <c r="A12" s="38" t="s">
        <v>285</v>
      </c>
      <c r="B12" s="38" t="s">
        <v>346</v>
      </c>
      <c r="C12" s="39">
        <v>67.763999999999996</v>
      </c>
      <c r="D12" s="39">
        <v>65.936099999999996</v>
      </c>
      <c r="E12" s="39">
        <v>68.450999999999993</v>
      </c>
      <c r="F12" s="39">
        <v>61.659500000000001</v>
      </c>
      <c r="G12" s="39">
        <v>53.014200000000002</v>
      </c>
      <c r="H12" s="39">
        <v>65.145799999999994</v>
      </c>
      <c r="I12" s="39">
        <v>72.229299999999995</v>
      </c>
      <c r="J12" s="39">
        <v>79.581699999999998</v>
      </c>
      <c r="K12" s="39">
        <v>66.240499999999997</v>
      </c>
    </row>
    <row r="13" spans="1:11" ht="14.5" x14ac:dyDescent="0.35">
      <c r="A13" s="38" t="s">
        <v>285</v>
      </c>
      <c r="B13" s="38" t="s">
        <v>347</v>
      </c>
      <c r="C13" s="39">
        <v>81.765600000000006</v>
      </c>
      <c r="D13" s="39">
        <v>82.425899999999999</v>
      </c>
      <c r="E13" s="39">
        <v>82.393699999999995</v>
      </c>
      <c r="F13" s="39">
        <v>76.256799999999998</v>
      </c>
      <c r="G13" s="39">
        <v>74.248500000000007</v>
      </c>
      <c r="H13" s="39">
        <v>81.945099999999996</v>
      </c>
      <c r="I13" s="39">
        <v>86.433899999999994</v>
      </c>
      <c r="J13" s="39">
        <v>85.986000000000004</v>
      </c>
      <c r="K13" s="39">
        <v>81.426299999999998</v>
      </c>
    </row>
    <row r="14" spans="1:11" ht="14.5" x14ac:dyDescent="0.35">
      <c r="A14" s="61" t="s">
        <v>285</v>
      </c>
      <c r="B14" s="69" t="s">
        <v>1304</v>
      </c>
      <c r="C14" s="62">
        <v>61.441800000000001</v>
      </c>
      <c r="D14" s="62">
        <v>57.870899999999999</v>
      </c>
      <c r="E14" s="62">
        <v>56.224499999999999</v>
      </c>
      <c r="F14" s="62">
        <v>53.427599999999998</v>
      </c>
      <c r="G14" s="62">
        <v>46.2121</v>
      </c>
      <c r="H14" s="62">
        <v>54.404899999999998</v>
      </c>
      <c r="I14" s="62">
        <v>66.769000000000005</v>
      </c>
      <c r="J14" s="62">
        <v>79.071100000000001</v>
      </c>
      <c r="K14" s="62">
        <v>57.959000000000003</v>
      </c>
    </row>
    <row r="15" spans="1:11" ht="14.5" x14ac:dyDescent="0.35">
      <c r="A15" s="38" t="s">
        <v>286</v>
      </c>
      <c r="B15" s="38" t="s">
        <v>343</v>
      </c>
      <c r="C15" s="39">
        <v>44.315399999999997</v>
      </c>
      <c r="D15" s="39">
        <v>38.2883</v>
      </c>
      <c r="E15" s="39">
        <v>43.853400000000001</v>
      </c>
      <c r="F15" s="39">
        <v>37.319899999999997</v>
      </c>
      <c r="G15" s="39">
        <v>39.166699999999999</v>
      </c>
      <c r="H15" s="39">
        <v>53.846200000000003</v>
      </c>
      <c r="I15" s="39" t="s">
        <v>1278</v>
      </c>
      <c r="J15" s="39" t="s">
        <v>1278</v>
      </c>
      <c r="K15" s="39">
        <v>41.781999999999996</v>
      </c>
    </row>
    <row r="16" spans="1:11" ht="14.5" x14ac:dyDescent="0.35">
      <c r="A16" s="38" t="s">
        <v>286</v>
      </c>
      <c r="B16" s="38" t="s">
        <v>344</v>
      </c>
      <c r="C16" s="39">
        <v>51.549300000000002</v>
      </c>
      <c r="D16" s="39">
        <v>46.596200000000003</v>
      </c>
      <c r="E16" s="39">
        <v>53.9602</v>
      </c>
      <c r="F16" s="39">
        <v>55.808999999999997</v>
      </c>
      <c r="G16" s="39">
        <v>46.537500000000001</v>
      </c>
      <c r="H16" s="39">
        <v>54.832099999999997</v>
      </c>
      <c r="I16" s="39" t="s">
        <v>1278</v>
      </c>
      <c r="J16" s="39" t="s">
        <v>1278</v>
      </c>
      <c r="K16" s="39">
        <v>51.527000000000001</v>
      </c>
    </row>
    <row r="17" spans="1:11" ht="14.5" x14ac:dyDescent="0.35">
      <c r="A17" s="38" t="s">
        <v>286</v>
      </c>
      <c r="B17" s="38" t="s">
        <v>345</v>
      </c>
      <c r="C17" s="39">
        <v>59.011299999999999</v>
      </c>
      <c r="D17" s="39">
        <v>50.983699999999999</v>
      </c>
      <c r="E17" s="39">
        <v>57.8812</v>
      </c>
      <c r="F17" s="39">
        <v>61.721499999999999</v>
      </c>
      <c r="G17" s="39">
        <v>50.363</v>
      </c>
      <c r="H17" s="39">
        <v>69.761899999999997</v>
      </c>
      <c r="I17" s="39" t="s">
        <v>1278</v>
      </c>
      <c r="J17" s="39" t="s">
        <v>1278</v>
      </c>
      <c r="K17" s="39">
        <v>57.172199999999997</v>
      </c>
    </row>
    <row r="18" spans="1:11" ht="14.5" x14ac:dyDescent="0.35">
      <c r="A18" s="38" t="s">
        <v>286</v>
      </c>
      <c r="B18" s="38" t="s">
        <v>346</v>
      </c>
      <c r="C18" s="39">
        <v>75.031499999999994</v>
      </c>
      <c r="D18" s="39">
        <v>69.439499999999995</v>
      </c>
      <c r="E18" s="39">
        <v>78.1661</v>
      </c>
      <c r="F18" s="39">
        <v>77.240099999999998</v>
      </c>
      <c r="G18" s="39">
        <v>70.130300000000005</v>
      </c>
      <c r="H18" s="39">
        <v>84.626800000000003</v>
      </c>
      <c r="I18" s="39" t="s">
        <v>1278</v>
      </c>
      <c r="J18" s="39" t="s">
        <v>1278</v>
      </c>
      <c r="K18" s="39">
        <v>74.836500000000001</v>
      </c>
    </row>
    <row r="19" spans="1:11" ht="14.5" x14ac:dyDescent="0.35">
      <c r="A19" s="38" t="s">
        <v>286</v>
      </c>
      <c r="B19" s="38" t="s">
        <v>347</v>
      </c>
      <c r="C19" s="39">
        <v>87.787300000000002</v>
      </c>
      <c r="D19" s="39">
        <v>87.176699999999997</v>
      </c>
      <c r="E19" s="39">
        <v>91.902199999999993</v>
      </c>
      <c r="F19" s="39">
        <v>85.839699999999993</v>
      </c>
      <c r="G19" s="39">
        <v>86.262100000000004</v>
      </c>
      <c r="H19" s="39">
        <v>92.8626</v>
      </c>
      <c r="I19" s="39" t="s">
        <v>1278</v>
      </c>
      <c r="J19" s="39" t="s">
        <v>1278</v>
      </c>
      <c r="K19" s="39">
        <v>87.970399999999998</v>
      </c>
    </row>
    <row r="20" spans="1:11" ht="14.5" x14ac:dyDescent="0.35">
      <c r="A20" s="61" t="s">
        <v>286</v>
      </c>
      <c r="B20" s="69" t="s">
        <v>1304</v>
      </c>
      <c r="C20" s="62">
        <v>68.033199999999994</v>
      </c>
      <c r="D20" s="62">
        <v>60.803699999999999</v>
      </c>
      <c r="E20" s="62">
        <v>66.628600000000006</v>
      </c>
      <c r="F20" s="62">
        <v>69.931100000000001</v>
      </c>
      <c r="G20" s="62">
        <v>62.006999999999998</v>
      </c>
      <c r="H20" s="62">
        <v>78.086699999999993</v>
      </c>
      <c r="I20" s="62" t="s">
        <v>1278</v>
      </c>
      <c r="J20" s="62" t="s">
        <v>1278</v>
      </c>
      <c r="K20" s="62">
        <v>66.490799999999993</v>
      </c>
    </row>
    <row r="21" spans="1:11" ht="14.5" x14ac:dyDescent="0.35">
      <c r="A21" s="38" t="s">
        <v>287</v>
      </c>
      <c r="B21" s="38" t="s">
        <v>343</v>
      </c>
      <c r="C21" s="39">
        <v>57.263399999999997</v>
      </c>
      <c r="D21" s="39">
        <v>38.8889</v>
      </c>
      <c r="E21" s="39" t="s">
        <v>1278</v>
      </c>
      <c r="F21" s="39">
        <v>32.783900000000003</v>
      </c>
      <c r="G21" s="39">
        <v>49.844200000000001</v>
      </c>
      <c r="H21" s="39" t="s">
        <v>1278</v>
      </c>
      <c r="I21" s="39" t="s">
        <v>1278</v>
      </c>
      <c r="J21" s="39">
        <v>41.269799999999996</v>
      </c>
      <c r="K21" s="39">
        <v>47.314</v>
      </c>
    </row>
    <row r="22" spans="1:11" ht="14.5" x14ac:dyDescent="0.35">
      <c r="A22" s="38" t="s">
        <v>287</v>
      </c>
      <c r="B22" s="38" t="s">
        <v>344</v>
      </c>
      <c r="C22" s="39">
        <v>58.518099999999997</v>
      </c>
      <c r="D22" s="39">
        <v>53.091700000000003</v>
      </c>
      <c r="E22" s="39" t="s">
        <v>1278</v>
      </c>
      <c r="F22" s="39">
        <v>56.021099999999997</v>
      </c>
      <c r="G22" s="39">
        <v>58.562899999999999</v>
      </c>
      <c r="H22" s="39" t="s">
        <v>1278</v>
      </c>
      <c r="I22" s="39" t="s">
        <v>1278</v>
      </c>
      <c r="J22" s="39">
        <v>52.089300000000001</v>
      </c>
      <c r="K22" s="39">
        <v>56.930599999999998</v>
      </c>
    </row>
    <row r="23" spans="1:11" ht="14.5" x14ac:dyDescent="0.35">
      <c r="A23" s="38" t="s">
        <v>287</v>
      </c>
      <c r="B23" s="38" t="s">
        <v>345</v>
      </c>
      <c r="C23" s="39">
        <v>73.4131</v>
      </c>
      <c r="D23" s="39">
        <v>64.980099999999993</v>
      </c>
      <c r="E23" s="39" t="s">
        <v>1278</v>
      </c>
      <c r="F23" s="39">
        <v>73.036500000000004</v>
      </c>
      <c r="G23" s="39">
        <v>63.345599999999997</v>
      </c>
      <c r="H23" s="39" t="s">
        <v>1278</v>
      </c>
      <c r="I23" s="39" t="s">
        <v>1278</v>
      </c>
      <c r="J23" s="39">
        <v>57.949599999999997</v>
      </c>
      <c r="K23" s="39">
        <v>69.454599999999999</v>
      </c>
    </row>
    <row r="24" spans="1:11" ht="14.5" x14ac:dyDescent="0.35">
      <c r="A24" s="38" t="s">
        <v>287</v>
      </c>
      <c r="B24" s="38" t="s">
        <v>346</v>
      </c>
      <c r="C24" s="39">
        <v>88.223200000000006</v>
      </c>
      <c r="D24" s="39">
        <v>82.927899999999994</v>
      </c>
      <c r="E24" s="39" t="s">
        <v>1278</v>
      </c>
      <c r="F24" s="39">
        <v>88.109200000000001</v>
      </c>
      <c r="G24" s="39">
        <v>79.430800000000005</v>
      </c>
      <c r="H24" s="39" t="s">
        <v>1278</v>
      </c>
      <c r="I24" s="39" t="s">
        <v>1278</v>
      </c>
      <c r="J24" s="39">
        <v>71.773700000000005</v>
      </c>
      <c r="K24" s="39">
        <v>85.032300000000006</v>
      </c>
    </row>
    <row r="25" spans="1:11" ht="14.5" x14ac:dyDescent="0.35">
      <c r="A25" s="38" t="s">
        <v>287</v>
      </c>
      <c r="B25" s="38" t="s">
        <v>347</v>
      </c>
      <c r="C25" s="39">
        <v>94.882800000000003</v>
      </c>
      <c r="D25" s="39">
        <v>91.475399999999993</v>
      </c>
      <c r="E25" s="39" t="s">
        <v>1278</v>
      </c>
      <c r="F25" s="39">
        <v>93.594399999999993</v>
      </c>
      <c r="G25" s="39">
        <v>90.656700000000001</v>
      </c>
      <c r="H25" s="39" t="s">
        <v>1278</v>
      </c>
      <c r="I25" s="39" t="s">
        <v>1278</v>
      </c>
      <c r="J25" s="39">
        <v>86.685599999999994</v>
      </c>
      <c r="K25" s="39">
        <v>93.431899999999999</v>
      </c>
    </row>
    <row r="26" spans="1:11" ht="14.5" x14ac:dyDescent="0.35">
      <c r="A26" s="61" t="s">
        <v>287</v>
      </c>
      <c r="B26" s="69" t="s">
        <v>1304</v>
      </c>
      <c r="C26" s="62">
        <v>82.448099999999997</v>
      </c>
      <c r="D26" s="62">
        <v>76.121399999999994</v>
      </c>
      <c r="E26" s="62" t="s">
        <v>1278</v>
      </c>
      <c r="F26" s="62">
        <v>82.545400000000001</v>
      </c>
      <c r="G26" s="62">
        <v>72.284499999999994</v>
      </c>
      <c r="H26" s="62" t="s">
        <v>1278</v>
      </c>
      <c r="I26" s="62" t="s">
        <v>1278</v>
      </c>
      <c r="J26" s="62">
        <v>67.576300000000003</v>
      </c>
      <c r="K26" s="62">
        <v>79.141900000000007</v>
      </c>
    </row>
    <row r="27" spans="1:11" ht="14.5" x14ac:dyDescent="0.35">
      <c r="A27" s="46" t="s">
        <v>289</v>
      </c>
      <c r="B27" s="46" t="s">
        <v>343</v>
      </c>
      <c r="C27" s="47">
        <v>44.168300000000002</v>
      </c>
      <c r="D27" s="47">
        <v>36.645000000000003</v>
      </c>
      <c r="E27" s="47">
        <v>40.934899999999999</v>
      </c>
      <c r="F27" s="47">
        <v>41.3354</v>
      </c>
      <c r="G27" s="47">
        <v>42.592599999999997</v>
      </c>
      <c r="H27" s="47">
        <v>40.482599999999998</v>
      </c>
      <c r="I27" s="47">
        <v>37.036999999999999</v>
      </c>
      <c r="J27" s="47">
        <v>45.945900000000002</v>
      </c>
      <c r="K27" s="47">
        <v>41.549300000000002</v>
      </c>
    </row>
    <row r="28" spans="1:11" ht="14.5" x14ac:dyDescent="0.35">
      <c r="A28" s="46" t="s">
        <v>289</v>
      </c>
      <c r="B28" s="46" t="s">
        <v>344</v>
      </c>
      <c r="C28" s="47">
        <v>50.281500000000001</v>
      </c>
      <c r="D28" s="47">
        <v>49.2363</v>
      </c>
      <c r="E28" s="47">
        <v>47.7898</v>
      </c>
      <c r="F28" s="47">
        <v>53.613599999999998</v>
      </c>
      <c r="G28" s="47">
        <v>47.607799999999997</v>
      </c>
      <c r="H28" s="47">
        <v>46.795499999999997</v>
      </c>
      <c r="I28" s="47">
        <v>60.608199999999997</v>
      </c>
      <c r="J28" s="47">
        <v>51.315300000000001</v>
      </c>
      <c r="K28" s="47">
        <v>49.744199999999999</v>
      </c>
    </row>
    <row r="29" spans="1:11" ht="14.5" x14ac:dyDescent="0.35">
      <c r="A29" s="46" t="s">
        <v>289</v>
      </c>
      <c r="B29" s="46" t="s">
        <v>345</v>
      </c>
      <c r="C29" s="47">
        <v>57.242699999999999</v>
      </c>
      <c r="D29" s="47">
        <v>54.064300000000003</v>
      </c>
      <c r="E29" s="47">
        <v>52.574599999999997</v>
      </c>
      <c r="F29" s="47">
        <v>53.667299999999997</v>
      </c>
      <c r="G29" s="47">
        <v>48.501899999999999</v>
      </c>
      <c r="H29" s="47">
        <v>51.4375</v>
      </c>
      <c r="I29" s="47">
        <v>62.1571</v>
      </c>
      <c r="J29" s="47">
        <v>57.879899999999999</v>
      </c>
      <c r="K29" s="47">
        <v>54.503700000000002</v>
      </c>
    </row>
    <row r="30" spans="1:11" ht="14.5" x14ac:dyDescent="0.35">
      <c r="A30" s="46" t="s">
        <v>289</v>
      </c>
      <c r="B30" s="46" t="s">
        <v>346</v>
      </c>
      <c r="C30" s="47">
        <v>74.135400000000004</v>
      </c>
      <c r="D30" s="47">
        <v>69.688599999999994</v>
      </c>
      <c r="E30" s="47">
        <v>70.682000000000002</v>
      </c>
      <c r="F30" s="47">
        <v>71.499300000000005</v>
      </c>
      <c r="G30" s="47">
        <v>67.203999999999994</v>
      </c>
      <c r="H30" s="47">
        <v>68.114800000000002</v>
      </c>
      <c r="I30" s="47">
        <v>74.303399999999996</v>
      </c>
      <c r="J30" s="47">
        <v>69.077600000000004</v>
      </c>
      <c r="K30" s="47">
        <v>71.660200000000003</v>
      </c>
    </row>
    <row r="31" spans="1:11" ht="14.5" x14ac:dyDescent="0.35">
      <c r="A31" s="46" t="s">
        <v>289</v>
      </c>
      <c r="B31" s="46" t="s">
        <v>347</v>
      </c>
      <c r="C31" s="47">
        <v>88.472099999999998</v>
      </c>
      <c r="D31" s="47">
        <v>84.083399999999997</v>
      </c>
      <c r="E31" s="47">
        <v>83.295900000000003</v>
      </c>
      <c r="F31" s="47">
        <v>86.087800000000001</v>
      </c>
      <c r="G31" s="47">
        <v>81.8292</v>
      </c>
      <c r="H31" s="47">
        <v>78.095100000000002</v>
      </c>
      <c r="I31" s="47">
        <v>86.537199999999999</v>
      </c>
      <c r="J31" s="47">
        <v>82.178399999999996</v>
      </c>
      <c r="K31" s="47">
        <v>86.083699999999993</v>
      </c>
    </row>
    <row r="32" spans="1:11" ht="15" thickBot="1" x14ac:dyDescent="0.4">
      <c r="A32" s="41" t="s">
        <v>289</v>
      </c>
      <c r="B32" s="70" t="s">
        <v>1281</v>
      </c>
      <c r="C32" s="42">
        <v>66.906300000000002</v>
      </c>
      <c r="D32" s="42">
        <v>62.187399999999997</v>
      </c>
      <c r="E32" s="42">
        <v>59.565600000000003</v>
      </c>
      <c r="F32" s="42">
        <v>63.652099999999997</v>
      </c>
      <c r="G32" s="42">
        <v>58.500700000000002</v>
      </c>
      <c r="H32" s="42">
        <v>59.043599999999998</v>
      </c>
      <c r="I32" s="42">
        <v>69.856499999999997</v>
      </c>
      <c r="J32" s="42">
        <v>65.309799999999996</v>
      </c>
      <c r="K32" s="42">
        <v>63.507199999999997</v>
      </c>
    </row>
    <row r="33" spans="1:11" ht="14.5" x14ac:dyDescent="0.35">
      <c r="A33" s="100" t="s">
        <v>789</v>
      </c>
      <c r="B33" s="99"/>
      <c r="C33" s="99"/>
      <c r="D33" s="99"/>
      <c r="E33" s="99"/>
      <c r="F33" s="99"/>
      <c r="G33" s="99"/>
      <c r="H33" s="99"/>
      <c r="I33" s="99"/>
      <c r="J33" s="99"/>
      <c r="K33" s="99"/>
    </row>
    <row r="34" spans="1:11" ht="14.5" x14ac:dyDescent="0.35">
      <c r="A34" s="100" t="s">
        <v>802</v>
      </c>
      <c r="B34" s="99"/>
      <c r="C34" s="99"/>
      <c r="D34" s="99"/>
      <c r="E34" s="99"/>
      <c r="F34" s="99"/>
      <c r="G34" s="99"/>
      <c r="H34" s="99"/>
      <c r="I34" s="99"/>
      <c r="J34" s="99"/>
      <c r="K34" s="99"/>
    </row>
    <row r="35" spans="1:11" ht="14.5" x14ac:dyDescent="0.35">
      <c r="A35" s="100" t="s">
        <v>803</v>
      </c>
      <c r="B35" s="99"/>
      <c r="C35" s="99"/>
      <c r="D35" s="99"/>
      <c r="E35" s="99"/>
      <c r="F35" s="99"/>
      <c r="G35" s="99"/>
      <c r="H35" s="99"/>
      <c r="I35" s="99"/>
      <c r="J35" s="99"/>
      <c r="K35" s="99"/>
    </row>
    <row r="36" spans="1:11" ht="14.5" x14ac:dyDescent="0.35">
      <c r="A36" s="44"/>
      <c r="B36" s="35"/>
      <c r="C36" s="35"/>
      <c r="D36" s="35"/>
      <c r="E36" s="35"/>
      <c r="F36" s="35"/>
      <c r="G36" s="35"/>
      <c r="H36" s="35"/>
      <c r="I36" s="35"/>
      <c r="J36" s="35"/>
      <c r="K36" s="35"/>
    </row>
    <row r="37" spans="1:11" ht="14.5" x14ac:dyDescent="0.35">
      <c r="A37" s="35" t="s">
        <v>290</v>
      </c>
      <c r="B37" s="35"/>
      <c r="C37" s="35"/>
      <c r="D37" s="35"/>
      <c r="E37" s="35"/>
      <c r="F37" s="35"/>
      <c r="G37" s="35"/>
      <c r="H37" s="35"/>
      <c r="I37" s="35"/>
      <c r="J37" s="35"/>
      <c r="K37" s="35"/>
    </row>
    <row r="38" spans="1:11" ht="14.5" x14ac:dyDescent="0.35">
      <c r="A38" s="45" t="s">
        <v>291</v>
      </c>
      <c r="B38" s="35"/>
      <c r="C38" s="35"/>
      <c r="D38" s="35"/>
      <c r="E38" s="35"/>
      <c r="F38" s="35"/>
      <c r="G38" s="35"/>
      <c r="H38" s="35"/>
      <c r="I38" s="35"/>
      <c r="J38" s="35"/>
      <c r="K38" s="35"/>
    </row>
    <row r="39" spans="1:11" ht="14.5" x14ac:dyDescent="0.35">
      <c r="A39" s="35"/>
      <c r="B39" s="35"/>
      <c r="C39" s="35"/>
      <c r="D39" s="35"/>
      <c r="E39" s="35"/>
      <c r="F39" s="35"/>
      <c r="G39" s="35"/>
      <c r="H39" s="35"/>
      <c r="I39" s="35"/>
      <c r="J39" s="35"/>
      <c r="K39" s="35"/>
    </row>
    <row r="40" spans="1:11" ht="14.5" x14ac:dyDescent="0.35">
      <c r="A40" s="45" t="s">
        <v>3</v>
      </c>
      <c r="B40" s="35"/>
      <c r="C40" s="35"/>
      <c r="D40" s="35"/>
      <c r="E40" s="35"/>
      <c r="F40" s="35"/>
      <c r="G40" s="35"/>
      <c r="H40" s="35"/>
      <c r="I40" s="35"/>
      <c r="J40" s="35"/>
      <c r="K40" s="35"/>
    </row>
    <row r="41" spans="1:11" ht="14.5" x14ac:dyDescent="0.35">
      <c r="A41" s="35"/>
      <c r="B41" s="35"/>
      <c r="C41" s="35"/>
      <c r="D41" s="35"/>
      <c r="E41" s="35"/>
      <c r="F41" s="35"/>
      <c r="G41" s="35"/>
      <c r="H41" s="35"/>
      <c r="I41" s="35"/>
      <c r="J41" s="35"/>
      <c r="K41" s="35"/>
    </row>
    <row r="42" spans="1:11" ht="14.5" x14ac:dyDescent="0.35">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2400-000000000000}"/>
    <hyperlink ref="A40" location="'Technical specifications'!A1" display="Technical specifications" xr:uid="{00000000-0004-0000-2400-000001000000}"/>
    <hyperlink ref="A42" location="Contents!A1" display="Back to contents" xr:uid="{00000000-0004-0000-2400-000002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H25"/>
  <sheetViews>
    <sheetView workbookViewId="0">
      <selection sqref="A1:H1"/>
    </sheetView>
  </sheetViews>
  <sheetFormatPr defaultRowHeight="14.75" customHeight="1" x14ac:dyDescent="0.35"/>
  <cols>
    <col min="1" max="1" width="19" customWidth="1"/>
    <col min="2" max="2" width="23" customWidth="1"/>
    <col min="3" max="8" width="14.36328125" customWidth="1"/>
  </cols>
  <sheetData>
    <row r="1" spans="1:8" ht="33.75" customHeight="1" x14ac:dyDescent="0.35">
      <c r="A1" s="96" t="s">
        <v>804</v>
      </c>
      <c r="B1" s="97"/>
      <c r="C1" s="97"/>
      <c r="D1" s="97"/>
      <c r="E1" s="97"/>
      <c r="F1" s="97"/>
      <c r="G1" s="97"/>
      <c r="H1" s="97"/>
    </row>
    <row r="2" spans="1:8" ht="14.5" x14ac:dyDescent="0.35">
      <c r="A2" s="36" t="s">
        <v>805</v>
      </c>
      <c r="B2" s="36" t="s">
        <v>294</v>
      </c>
      <c r="C2" s="37" t="s">
        <v>343</v>
      </c>
      <c r="D2" s="37" t="s">
        <v>344</v>
      </c>
      <c r="E2" s="37" t="s">
        <v>345</v>
      </c>
      <c r="F2" s="37" t="s">
        <v>346</v>
      </c>
      <c r="G2" s="37" t="s">
        <v>347</v>
      </c>
      <c r="H2" s="71" t="s">
        <v>1281</v>
      </c>
    </row>
    <row r="3" spans="1:8" ht="14.5" x14ac:dyDescent="0.35">
      <c r="A3" s="38" t="s">
        <v>806</v>
      </c>
      <c r="B3" s="38" t="s">
        <v>807</v>
      </c>
      <c r="C3" s="39">
        <v>7871</v>
      </c>
      <c r="D3" s="39">
        <v>44106</v>
      </c>
      <c r="E3" s="39">
        <v>89203</v>
      </c>
      <c r="F3" s="39">
        <v>41099</v>
      </c>
      <c r="G3" s="39">
        <v>6171</v>
      </c>
      <c r="H3" s="39">
        <v>188474</v>
      </c>
    </row>
    <row r="4" spans="1:8" ht="14.5" x14ac:dyDescent="0.35">
      <c r="A4" s="38" t="s">
        <v>808</v>
      </c>
      <c r="B4" s="38" t="s">
        <v>807</v>
      </c>
      <c r="C4" s="39">
        <v>8999</v>
      </c>
      <c r="D4" s="39">
        <v>90113</v>
      </c>
      <c r="E4" s="39">
        <v>135985</v>
      </c>
      <c r="F4" s="39">
        <v>57642</v>
      </c>
      <c r="G4" s="39">
        <v>4298</v>
      </c>
      <c r="H4" s="39">
        <v>297048</v>
      </c>
    </row>
    <row r="5" spans="1:8" ht="14.5" x14ac:dyDescent="0.35">
      <c r="A5" s="38" t="s">
        <v>809</v>
      </c>
      <c r="B5" s="38" t="s">
        <v>807</v>
      </c>
      <c r="C5" s="39">
        <v>8758</v>
      </c>
      <c r="D5" s="39">
        <v>116318</v>
      </c>
      <c r="E5" s="39">
        <v>176609</v>
      </c>
      <c r="F5" s="39">
        <v>67213</v>
      </c>
      <c r="G5" s="39">
        <v>3796</v>
      </c>
      <c r="H5" s="39">
        <v>372708</v>
      </c>
    </row>
    <row r="6" spans="1:8" ht="14.5" x14ac:dyDescent="0.35">
      <c r="A6" s="38" t="s">
        <v>810</v>
      </c>
      <c r="B6" s="38" t="s">
        <v>807</v>
      </c>
      <c r="C6" s="39">
        <v>8117</v>
      </c>
      <c r="D6" s="39">
        <v>114980</v>
      </c>
      <c r="E6" s="39">
        <v>182664</v>
      </c>
      <c r="F6" s="39">
        <v>62584</v>
      </c>
      <c r="G6" s="39">
        <v>3051</v>
      </c>
      <c r="H6" s="39">
        <v>371411</v>
      </c>
    </row>
    <row r="7" spans="1:8" ht="14.5" x14ac:dyDescent="0.35">
      <c r="A7" s="38" t="s">
        <v>811</v>
      </c>
      <c r="B7" s="38" t="s">
        <v>807</v>
      </c>
      <c r="C7" s="39">
        <v>27973</v>
      </c>
      <c r="D7" s="39">
        <v>457792</v>
      </c>
      <c r="E7" s="39">
        <v>774583</v>
      </c>
      <c r="F7" s="39">
        <v>222212</v>
      </c>
      <c r="G7" s="39">
        <v>8597</v>
      </c>
      <c r="H7" s="39">
        <v>1491220</v>
      </c>
    </row>
    <row r="8" spans="1:8" ht="14.5" x14ac:dyDescent="0.35">
      <c r="A8" s="68" t="s">
        <v>1305</v>
      </c>
      <c r="B8" s="46" t="s">
        <v>812</v>
      </c>
      <c r="C8" s="47">
        <v>61778</v>
      </c>
      <c r="D8" s="47">
        <v>823930</v>
      </c>
      <c r="E8" s="47">
        <v>1360940</v>
      </c>
      <c r="F8" s="47">
        <v>451826</v>
      </c>
      <c r="G8" s="47">
        <v>26299</v>
      </c>
      <c r="H8" s="47">
        <v>2724909</v>
      </c>
    </row>
    <row r="9" spans="1:8" ht="14.5" x14ac:dyDescent="0.35">
      <c r="A9" s="38" t="s">
        <v>806</v>
      </c>
      <c r="B9" s="38" t="s">
        <v>306</v>
      </c>
      <c r="C9" s="40">
        <v>12.7408</v>
      </c>
      <c r="D9" s="40">
        <v>5.3531000000000004</v>
      </c>
      <c r="E9" s="40">
        <v>6.5545</v>
      </c>
      <c r="F9" s="40">
        <v>9.0961999999999996</v>
      </c>
      <c r="G9" s="40">
        <v>23.4648</v>
      </c>
      <c r="H9" s="40">
        <v>6.9166999999999996</v>
      </c>
    </row>
    <row r="10" spans="1:8" ht="14.5" x14ac:dyDescent="0.35">
      <c r="A10" s="38" t="s">
        <v>808</v>
      </c>
      <c r="B10" s="38" t="s">
        <v>306</v>
      </c>
      <c r="C10" s="40">
        <v>14.566700000000001</v>
      </c>
      <c r="D10" s="40">
        <v>10.936999999999999</v>
      </c>
      <c r="E10" s="40">
        <v>9.9920000000000009</v>
      </c>
      <c r="F10" s="40">
        <v>12.7576</v>
      </c>
      <c r="G10" s="40">
        <v>16.3428</v>
      </c>
      <c r="H10" s="40">
        <v>10.901199999999999</v>
      </c>
    </row>
    <row r="11" spans="1:8" ht="14.5" x14ac:dyDescent="0.35">
      <c r="A11" s="38" t="s">
        <v>809</v>
      </c>
      <c r="B11" s="38" t="s">
        <v>306</v>
      </c>
      <c r="C11" s="40">
        <v>14.176600000000001</v>
      </c>
      <c r="D11" s="40">
        <v>14.1175</v>
      </c>
      <c r="E11" s="40">
        <v>12.977</v>
      </c>
      <c r="F11" s="40">
        <v>14.8759</v>
      </c>
      <c r="G11" s="40">
        <v>14.433999999999999</v>
      </c>
      <c r="H11" s="40">
        <v>13.6778</v>
      </c>
    </row>
    <row r="12" spans="1:8" ht="14.5" x14ac:dyDescent="0.35">
      <c r="A12" s="38" t="s">
        <v>810</v>
      </c>
      <c r="B12" s="38" t="s">
        <v>306</v>
      </c>
      <c r="C12" s="40">
        <v>13.138999999999999</v>
      </c>
      <c r="D12" s="40">
        <v>13.9551</v>
      </c>
      <c r="E12" s="40">
        <v>13.421900000000001</v>
      </c>
      <c r="F12" s="40">
        <v>13.8513</v>
      </c>
      <c r="G12" s="40">
        <v>11.6012</v>
      </c>
      <c r="H12" s="40">
        <v>13.6302</v>
      </c>
    </row>
    <row r="13" spans="1:8" ht="14.5" x14ac:dyDescent="0.35">
      <c r="A13" s="38" t="s">
        <v>811</v>
      </c>
      <c r="B13" s="38" t="s">
        <v>306</v>
      </c>
      <c r="C13" s="40">
        <v>45.279899999999998</v>
      </c>
      <c r="D13" s="40">
        <v>55.561999999999998</v>
      </c>
      <c r="E13" s="40">
        <v>56.915300000000002</v>
      </c>
      <c r="F13" s="40">
        <v>49.180900000000001</v>
      </c>
      <c r="G13" s="40">
        <v>32.689500000000002</v>
      </c>
      <c r="H13" s="40">
        <v>54.725499999999997</v>
      </c>
    </row>
    <row r="14" spans="1:8" ht="15" thickBot="1" x14ac:dyDescent="0.4">
      <c r="A14" s="70" t="s">
        <v>1305</v>
      </c>
      <c r="B14" s="41" t="s">
        <v>306</v>
      </c>
      <c r="C14" s="43">
        <v>100</v>
      </c>
      <c r="D14" s="43">
        <v>100</v>
      </c>
      <c r="E14" s="43">
        <v>100</v>
      </c>
      <c r="F14" s="43">
        <v>100</v>
      </c>
      <c r="G14" s="43">
        <v>100</v>
      </c>
      <c r="H14" s="43">
        <v>100</v>
      </c>
    </row>
    <row r="15" spans="1:8" ht="14.5" x14ac:dyDescent="0.35">
      <c r="A15" s="100" t="s">
        <v>813</v>
      </c>
      <c r="B15" s="99"/>
      <c r="C15" s="99"/>
      <c r="D15" s="99"/>
      <c r="E15" s="99"/>
      <c r="F15" s="99"/>
      <c r="G15" s="99"/>
      <c r="H15" s="99"/>
    </row>
    <row r="16" spans="1:8" ht="14.5" x14ac:dyDescent="0.35">
      <c r="A16" s="100" t="s">
        <v>814</v>
      </c>
      <c r="B16" s="99"/>
      <c r="C16" s="99"/>
      <c r="D16" s="99"/>
      <c r="E16" s="99"/>
      <c r="F16" s="99"/>
      <c r="G16" s="99"/>
      <c r="H16" s="99"/>
    </row>
    <row r="17" spans="1:8" ht="14.5" x14ac:dyDescent="0.35">
      <c r="A17" s="100" t="s">
        <v>815</v>
      </c>
      <c r="B17" s="99"/>
      <c r="C17" s="99"/>
      <c r="D17" s="99"/>
      <c r="E17" s="99"/>
      <c r="F17" s="99"/>
      <c r="G17" s="99"/>
      <c r="H17" s="99"/>
    </row>
    <row r="18" spans="1:8" ht="14.5" x14ac:dyDescent="0.35">
      <c r="A18" s="100" t="s">
        <v>816</v>
      </c>
      <c r="B18" s="99"/>
      <c r="C18" s="99"/>
      <c r="D18" s="99"/>
      <c r="E18" s="99"/>
      <c r="F18" s="99"/>
      <c r="G18" s="99"/>
      <c r="H18" s="99"/>
    </row>
    <row r="19" spans="1:8" ht="14.5" x14ac:dyDescent="0.35">
      <c r="A19" s="44"/>
      <c r="B19" s="35"/>
      <c r="C19" s="35"/>
      <c r="D19" s="35"/>
      <c r="E19" s="35"/>
      <c r="F19" s="35"/>
      <c r="G19" s="35"/>
      <c r="H19" s="35"/>
    </row>
    <row r="20" spans="1:8" ht="14.5" x14ac:dyDescent="0.35">
      <c r="A20" s="35" t="s">
        <v>290</v>
      </c>
      <c r="B20" s="35"/>
      <c r="C20" s="35"/>
      <c r="D20" s="35"/>
      <c r="E20" s="35"/>
      <c r="F20" s="35"/>
      <c r="G20" s="35"/>
      <c r="H20" s="35"/>
    </row>
    <row r="21" spans="1:8" ht="14.5" x14ac:dyDescent="0.35">
      <c r="A21" s="45" t="s">
        <v>291</v>
      </c>
      <c r="B21" s="35"/>
      <c r="C21" s="35"/>
      <c r="D21" s="35"/>
      <c r="E21" s="35"/>
      <c r="F21" s="35"/>
      <c r="G21" s="35"/>
      <c r="H21" s="35"/>
    </row>
    <row r="22" spans="1:8" ht="14.5" x14ac:dyDescent="0.35">
      <c r="A22" s="35"/>
      <c r="B22" s="35"/>
      <c r="C22" s="35"/>
      <c r="D22" s="35"/>
      <c r="E22" s="35"/>
      <c r="F22" s="35"/>
      <c r="G22" s="35"/>
      <c r="H22" s="35"/>
    </row>
    <row r="23" spans="1:8" ht="14.5" x14ac:dyDescent="0.35">
      <c r="A23" s="45" t="s">
        <v>3</v>
      </c>
      <c r="B23" s="35"/>
      <c r="C23" s="35"/>
      <c r="D23" s="35"/>
      <c r="E23" s="35"/>
      <c r="F23" s="35"/>
      <c r="G23" s="35"/>
      <c r="H23" s="35"/>
    </row>
    <row r="24" spans="1:8" ht="14.5" x14ac:dyDescent="0.35">
      <c r="A24" s="35"/>
      <c r="B24" s="35"/>
      <c r="C24" s="35"/>
      <c r="D24" s="35"/>
      <c r="E24" s="35"/>
      <c r="F24" s="35"/>
      <c r="G24" s="35"/>
      <c r="H24" s="35"/>
    </row>
    <row r="25" spans="1:8" ht="14.5" x14ac:dyDescent="0.35">
      <c r="A25" s="45" t="s">
        <v>292</v>
      </c>
      <c r="B25" s="35"/>
      <c r="C25" s="35"/>
      <c r="D25" s="35"/>
      <c r="E25" s="35"/>
      <c r="F25" s="35"/>
      <c r="G25" s="35"/>
      <c r="H25" s="35"/>
    </row>
  </sheetData>
  <mergeCells count="5">
    <mergeCell ref="A18:H18"/>
    <mergeCell ref="A15:H15"/>
    <mergeCell ref="A16:H16"/>
    <mergeCell ref="A1:H1"/>
    <mergeCell ref="A17:H17"/>
  </mergeCells>
  <hyperlinks>
    <hyperlink ref="A21" r:id="rId1" xr:uid="{00000000-0004-0000-2500-000000000000}"/>
    <hyperlink ref="A23" location="'Technical specifications'!A1" display="Technical specifications" xr:uid="{00000000-0004-0000-2500-000001000000}"/>
    <hyperlink ref="A25" location="Contents!A1" display="Back to contents" xr:uid="{00000000-0004-0000-2500-000002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H26"/>
  <sheetViews>
    <sheetView workbookViewId="0">
      <selection sqref="A1:H1"/>
    </sheetView>
  </sheetViews>
  <sheetFormatPr defaultRowHeight="14.75" customHeight="1" x14ac:dyDescent="0.35"/>
  <cols>
    <col min="1" max="1" width="19" customWidth="1"/>
    <col min="2" max="2" width="23" customWidth="1"/>
    <col min="3" max="8" width="14.36328125" customWidth="1"/>
  </cols>
  <sheetData>
    <row r="1" spans="1:8" ht="33.75" customHeight="1" x14ac:dyDescent="0.35">
      <c r="A1" s="96" t="s">
        <v>817</v>
      </c>
      <c r="B1" s="97"/>
      <c r="C1" s="97"/>
      <c r="D1" s="97"/>
      <c r="E1" s="97"/>
      <c r="F1" s="97"/>
      <c r="G1" s="97"/>
      <c r="H1" s="97"/>
    </row>
    <row r="2" spans="1:8" ht="14.5" x14ac:dyDescent="0.35">
      <c r="A2" s="36" t="s">
        <v>805</v>
      </c>
      <c r="B2" s="36" t="s">
        <v>294</v>
      </c>
      <c r="C2" s="37" t="s">
        <v>343</v>
      </c>
      <c r="D2" s="37" t="s">
        <v>344</v>
      </c>
      <c r="E2" s="37" t="s">
        <v>345</v>
      </c>
      <c r="F2" s="37" t="s">
        <v>346</v>
      </c>
      <c r="G2" s="37" t="s">
        <v>347</v>
      </c>
      <c r="H2" s="71" t="s">
        <v>1281</v>
      </c>
    </row>
    <row r="3" spans="1:8" ht="14.5" x14ac:dyDescent="0.35">
      <c r="A3" s="38" t="s">
        <v>806</v>
      </c>
      <c r="B3" s="58" t="s">
        <v>1306</v>
      </c>
      <c r="C3" s="39">
        <v>1740</v>
      </c>
      <c r="D3" s="39">
        <v>39452</v>
      </c>
      <c r="E3" s="39">
        <v>281487</v>
      </c>
      <c r="F3" s="39">
        <v>669196</v>
      </c>
      <c r="G3" s="39">
        <v>220037</v>
      </c>
      <c r="H3" s="39">
        <v>1212230</v>
      </c>
    </row>
    <row r="4" spans="1:8" ht="14.5" x14ac:dyDescent="0.35">
      <c r="A4" s="38" t="s">
        <v>808</v>
      </c>
      <c r="B4" s="58" t="s">
        <v>1306</v>
      </c>
      <c r="C4" s="39">
        <v>2366</v>
      </c>
      <c r="D4" s="39">
        <v>96664</v>
      </c>
      <c r="E4" s="39">
        <v>410373</v>
      </c>
      <c r="F4" s="39">
        <v>609788</v>
      </c>
      <c r="G4" s="39">
        <v>102512</v>
      </c>
      <c r="H4" s="39">
        <v>1221729</v>
      </c>
    </row>
    <row r="5" spans="1:8" ht="14.5" x14ac:dyDescent="0.35">
      <c r="A5" s="38" t="s">
        <v>809</v>
      </c>
      <c r="B5" s="58" t="s">
        <v>1306</v>
      </c>
      <c r="C5" s="39">
        <v>3251</v>
      </c>
      <c r="D5" s="39">
        <v>136604</v>
      </c>
      <c r="E5" s="39">
        <v>422863</v>
      </c>
      <c r="F5" s="39">
        <v>416537</v>
      </c>
      <c r="G5" s="39">
        <v>51597</v>
      </c>
      <c r="H5" s="39">
        <v>1030872</v>
      </c>
    </row>
    <row r="6" spans="1:8" ht="14.5" x14ac:dyDescent="0.35">
      <c r="A6" s="38" t="s">
        <v>810</v>
      </c>
      <c r="B6" s="58" t="s">
        <v>1306</v>
      </c>
      <c r="C6" s="39">
        <v>3587</v>
      </c>
      <c r="D6" s="39">
        <v>136514</v>
      </c>
      <c r="E6" s="39">
        <v>347994</v>
      </c>
      <c r="F6" s="39">
        <v>264760</v>
      </c>
      <c r="G6" s="39">
        <v>26971</v>
      </c>
      <c r="H6" s="39">
        <v>779841</v>
      </c>
    </row>
    <row r="7" spans="1:8" ht="14.5" x14ac:dyDescent="0.35">
      <c r="A7" s="38" t="s">
        <v>811</v>
      </c>
      <c r="B7" s="58" t="s">
        <v>1306</v>
      </c>
      <c r="C7" s="39">
        <v>13382</v>
      </c>
      <c r="D7" s="39">
        <v>352368</v>
      </c>
      <c r="E7" s="39">
        <v>799089</v>
      </c>
      <c r="F7" s="39">
        <v>422989</v>
      </c>
      <c r="G7" s="39">
        <v>33079</v>
      </c>
      <c r="H7" s="39">
        <v>1620961</v>
      </c>
    </row>
    <row r="8" spans="1:8" ht="14.5" x14ac:dyDescent="0.35">
      <c r="A8" s="60" t="s">
        <v>1302</v>
      </c>
      <c r="B8" s="60" t="s">
        <v>1307</v>
      </c>
      <c r="C8" s="47">
        <v>24610</v>
      </c>
      <c r="D8" s="47">
        <v>779929</v>
      </c>
      <c r="E8" s="47">
        <v>2410140</v>
      </c>
      <c r="F8" s="47">
        <v>2567688</v>
      </c>
      <c r="G8" s="47">
        <v>487064</v>
      </c>
      <c r="H8" s="47">
        <v>6272282</v>
      </c>
    </row>
    <row r="9" spans="1:8" ht="14.5" x14ac:dyDescent="0.35">
      <c r="A9" s="38" t="s">
        <v>806</v>
      </c>
      <c r="B9" s="38" t="s">
        <v>306</v>
      </c>
      <c r="C9" s="40">
        <v>7.0702999999999996</v>
      </c>
      <c r="D9" s="40">
        <v>5.0583999999999998</v>
      </c>
      <c r="E9" s="40">
        <v>11.6793</v>
      </c>
      <c r="F9" s="40">
        <v>26.062200000000001</v>
      </c>
      <c r="G9" s="40">
        <v>45.176200000000001</v>
      </c>
      <c r="H9" s="40">
        <v>19.326799999999999</v>
      </c>
    </row>
    <row r="10" spans="1:8" ht="14.5" x14ac:dyDescent="0.35">
      <c r="A10" s="38" t="s">
        <v>808</v>
      </c>
      <c r="B10" s="38" t="s">
        <v>306</v>
      </c>
      <c r="C10" s="40">
        <v>9.6140000000000008</v>
      </c>
      <c r="D10" s="40">
        <v>12.3939</v>
      </c>
      <c r="E10" s="40">
        <v>17.026900000000001</v>
      </c>
      <c r="F10" s="40">
        <v>23.7485</v>
      </c>
      <c r="G10" s="40">
        <v>21.046900000000001</v>
      </c>
      <c r="H10" s="40">
        <v>19.478200000000001</v>
      </c>
    </row>
    <row r="11" spans="1:8" ht="14.5" x14ac:dyDescent="0.35">
      <c r="A11" s="38" t="s">
        <v>809</v>
      </c>
      <c r="B11" s="38" t="s">
        <v>306</v>
      </c>
      <c r="C11" s="40">
        <v>13.210100000000001</v>
      </c>
      <c r="D11" s="40">
        <v>17.514900000000001</v>
      </c>
      <c r="E11" s="40">
        <v>17.545200000000001</v>
      </c>
      <c r="F11" s="40">
        <v>16.222300000000001</v>
      </c>
      <c r="G11" s="40">
        <v>10.593500000000001</v>
      </c>
      <c r="H11" s="40">
        <v>16.435400000000001</v>
      </c>
    </row>
    <row r="12" spans="1:8" ht="14.5" x14ac:dyDescent="0.35">
      <c r="A12" s="38" t="s">
        <v>810</v>
      </c>
      <c r="B12" s="38" t="s">
        <v>306</v>
      </c>
      <c r="C12" s="40">
        <v>14.5754</v>
      </c>
      <c r="D12" s="40">
        <v>17.503399999999999</v>
      </c>
      <c r="E12" s="40">
        <v>14.438700000000001</v>
      </c>
      <c r="F12" s="40">
        <v>10.311199999999999</v>
      </c>
      <c r="G12" s="40">
        <v>5.5374999999999996</v>
      </c>
      <c r="H12" s="40">
        <v>12.4331</v>
      </c>
    </row>
    <row r="13" spans="1:8" ht="14.5" x14ac:dyDescent="0.35">
      <c r="A13" s="38" t="s">
        <v>811</v>
      </c>
      <c r="B13" s="38" t="s">
        <v>306</v>
      </c>
      <c r="C13" s="40">
        <v>54.376300000000001</v>
      </c>
      <c r="D13" s="40">
        <v>45.179499999999997</v>
      </c>
      <c r="E13" s="40">
        <v>33.155299999999997</v>
      </c>
      <c r="F13" s="40">
        <v>16.473500000000001</v>
      </c>
      <c r="G13" s="40">
        <v>6.7915000000000001</v>
      </c>
      <c r="H13" s="40">
        <v>25.8432</v>
      </c>
    </row>
    <row r="14" spans="1:8" ht="14.5" x14ac:dyDescent="0.35">
      <c r="A14" s="54" t="s">
        <v>1302</v>
      </c>
      <c r="B14" s="41" t="s">
        <v>306</v>
      </c>
      <c r="C14" s="43">
        <v>100</v>
      </c>
      <c r="D14" s="43">
        <v>100</v>
      </c>
      <c r="E14" s="43">
        <v>100</v>
      </c>
      <c r="F14" s="43">
        <v>100</v>
      </c>
      <c r="G14" s="43">
        <v>100</v>
      </c>
      <c r="H14" s="43">
        <v>100</v>
      </c>
    </row>
    <row r="15" spans="1:8" ht="14.5" x14ac:dyDescent="0.35">
      <c r="A15" s="100" t="s">
        <v>813</v>
      </c>
      <c r="B15" s="99"/>
      <c r="C15" s="99"/>
      <c r="D15" s="99"/>
      <c r="E15" s="99"/>
      <c r="F15" s="99"/>
      <c r="G15" s="99"/>
      <c r="H15" s="99"/>
    </row>
    <row r="16" spans="1:8" ht="18" customHeight="1" x14ac:dyDescent="0.35">
      <c r="A16" s="100" t="s">
        <v>818</v>
      </c>
      <c r="B16" s="99"/>
      <c r="C16" s="99"/>
      <c r="D16" s="99"/>
      <c r="E16" s="99"/>
      <c r="F16" s="99"/>
      <c r="G16" s="99"/>
      <c r="H16" s="99"/>
    </row>
    <row r="17" spans="1:8" ht="14.5" x14ac:dyDescent="0.35">
      <c r="A17" s="100" t="s">
        <v>815</v>
      </c>
      <c r="B17" s="99"/>
      <c r="C17" s="99"/>
      <c r="D17" s="99"/>
      <c r="E17" s="99"/>
      <c r="F17" s="99"/>
      <c r="G17" s="99"/>
      <c r="H17" s="99"/>
    </row>
    <row r="18" spans="1:8" ht="20.5" customHeight="1" x14ac:dyDescent="0.35">
      <c r="A18" s="100" t="s">
        <v>819</v>
      </c>
      <c r="B18" s="99"/>
      <c r="C18" s="99"/>
      <c r="D18" s="99"/>
      <c r="E18" s="99"/>
      <c r="F18" s="99"/>
      <c r="G18" s="99"/>
      <c r="H18" s="99"/>
    </row>
    <row r="19" spans="1:8" ht="14.5" x14ac:dyDescent="0.35">
      <c r="A19" s="100" t="s">
        <v>820</v>
      </c>
      <c r="B19" s="99"/>
      <c r="C19" s="99"/>
      <c r="D19" s="99"/>
      <c r="E19" s="99"/>
      <c r="F19" s="99"/>
      <c r="G19" s="99"/>
      <c r="H19" s="99"/>
    </row>
    <row r="20" spans="1:8" ht="14.5" x14ac:dyDescent="0.35">
      <c r="A20" s="44"/>
      <c r="B20" s="35"/>
      <c r="C20" s="35"/>
      <c r="D20" s="35"/>
      <c r="E20" s="35"/>
      <c r="F20" s="35"/>
      <c r="G20" s="35"/>
      <c r="H20" s="35"/>
    </row>
    <row r="21" spans="1:8" ht="14.5" x14ac:dyDescent="0.35">
      <c r="A21" s="35" t="s">
        <v>290</v>
      </c>
      <c r="B21" s="35"/>
      <c r="C21" s="35"/>
      <c r="D21" s="35"/>
      <c r="E21" s="35"/>
      <c r="F21" s="35"/>
      <c r="G21" s="35"/>
      <c r="H21" s="35"/>
    </row>
    <row r="22" spans="1:8" ht="14.5" x14ac:dyDescent="0.35">
      <c r="A22" s="45" t="s">
        <v>291</v>
      </c>
      <c r="B22" s="35"/>
      <c r="C22" s="35"/>
      <c r="D22" s="35"/>
      <c r="E22" s="35"/>
      <c r="F22" s="35"/>
      <c r="G22" s="35"/>
      <c r="H22" s="35"/>
    </row>
    <row r="23" spans="1:8" ht="14.5" x14ac:dyDescent="0.35">
      <c r="A23" s="35"/>
      <c r="B23" s="35"/>
      <c r="C23" s="35"/>
      <c r="D23" s="35"/>
      <c r="E23" s="35"/>
      <c r="F23" s="35"/>
      <c r="G23" s="35"/>
      <c r="H23" s="35"/>
    </row>
    <row r="24" spans="1:8" ht="14.5" x14ac:dyDescent="0.35">
      <c r="A24" s="45" t="s">
        <v>3</v>
      </c>
      <c r="B24" s="35"/>
      <c r="C24" s="35"/>
      <c r="D24" s="35"/>
      <c r="E24" s="35"/>
      <c r="F24" s="35"/>
      <c r="G24" s="35"/>
      <c r="H24" s="35"/>
    </row>
    <row r="25" spans="1:8" ht="14.5" x14ac:dyDescent="0.35">
      <c r="A25" s="35"/>
      <c r="B25" s="35"/>
      <c r="C25" s="35"/>
      <c r="D25" s="35"/>
      <c r="E25" s="35"/>
      <c r="F25" s="35"/>
      <c r="G25" s="35"/>
      <c r="H25" s="35"/>
    </row>
    <row r="26" spans="1:8" ht="14.5" x14ac:dyDescent="0.35">
      <c r="A26" s="45" t="s">
        <v>292</v>
      </c>
      <c r="B26" s="35"/>
      <c r="C26" s="35"/>
      <c r="D26" s="35"/>
      <c r="E26" s="35"/>
      <c r="F26" s="35"/>
      <c r="G26" s="35"/>
      <c r="H26" s="35"/>
    </row>
  </sheetData>
  <mergeCells count="6">
    <mergeCell ref="A18:H18"/>
    <mergeCell ref="A15:H15"/>
    <mergeCell ref="A16:H16"/>
    <mergeCell ref="A19:H19"/>
    <mergeCell ref="A1:H1"/>
    <mergeCell ref="A17:H17"/>
  </mergeCells>
  <hyperlinks>
    <hyperlink ref="A22" r:id="rId1" xr:uid="{00000000-0004-0000-2600-000000000000}"/>
    <hyperlink ref="A24" location="'Technical specifications'!A1" display="Technical specifications" xr:uid="{00000000-0004-0000-2600-000001000000}"/>
    <hyperlink ref="A26" location="Contents!A1" display="Back to contents" xr:uid="{00000000-0004-0000-2600-000002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F20"/>
  <sheetViews>
    <sheetView workbookViewId="0">
      <selection sqref="A1:F1"/>
    </sheetView>
  </sheetViews>
  <sheetFormatPr defaultRowHeight="14.75" customHeight="1" x14ac:dyDescent="0.35"/>
  <cols>
    <col min="1" max="1" width="15" customWidth="1"/>
    <col min="2" max="6" width="11.1796875" customWidth="1"/>
  </cols>
  <sheetData>
    <row r="1" spans="1:6" ht="33.75" customHeight="1" x14ac:dyDescent="0.35">
      <c r="A1" s="96" t="s">
        <v>821</v>
      </c>
      <c r="B1" s="97"/>
      <c r="C1" s="97"/>
      <c r="D1" s="97"/>
      <c r="E1" s="97"/>
      <c r="F1" s="97"/>
    </row>
    <row r="2" spans="1:6" ht="14.5" x14ac:dyDescent="0.35">
      <c r="A2" s="36" t="s">
        <v>293</v>
      </c>
      <c r="B2" s="37" t="s">
        <v>277</v>
      </c>
      <c r="C2" s="37" t="s">
        <v>278</v>
      </c>
      <c r="D2" s="37" t="s">
        <v>279</v>
      </c>
      <c r="E2" s="37" t="s">
        <v>280</v>
      </c>
      <c r="F2" s="37" t="s">
        <v>281</v>
      </c>
    </row>
    <row r="3" spans="1:6" ht="14.5" x14ac:dyDescent="0.35">
      <c r="A3" s="38" t="s">
        <v>295</v>
      </c>
      <c r="B3" s="39">
        <v>172</v>
      </c>
      <c r="C3" s="39">
        <v>173</v>
      </c>
      <c r="D3" s="39">
        <v>172</v>
      </c>
      <c r="E3" s="39">
        <v>172</v>
      </c>
      <c r="F3" s="39">
        <v>172</v>
      </c>
    </row>
    <row r="4" spans="1:6" ht="14.5" x14ac:dyDescent="0.35">
      <c r="A4" s="58" t="s">
        <v>1308</v>
      </c>
      <c r="B4" s="39">
        <v>40</v>
      </c>
      <c r="C4" s="39">
        <v>40</v>
      </c>
      <c r="D4" s="39">
        <v>41</v>
      </c>
      <c r="E4" s="39">
        <v>41</v>
      </c>
      <c r="F4" s="39">
        <v>41</v>
      </c>
    </row>
    <row r="5" spans="1:6" ht="14.5" x14ac:dyDescent="0.35">
      <c r="A5" s="38" t="s">
        <v>298</v>
      </c>
      <c r="B5" s="39">
        <v>26</v>
      </c>
      <c r="C5" s="39">
        <v>26</v>
      </c>
      <c r="D5" s="39">
        <v>26</v>
      </c>
      <c r="E5" s="39">
        <v>26</v>
      </c>
      <c r="F5" s="39">
        <v>26</v>
      </c>
    </row>
    <row r="6" spans="1:6" ht="14.5" x14ac:dyDescent="0.35">
      <c r="A6" s="38" t="s">
        <v>299</v>
      </c>
      <c r="B6" s="39">
        <v>24</v>
      </c>
      <c r="C6" s="39">
        <v>24</v>
      </c>
      <c r="D6" s="39">
        <v>24</v>
      </c>
      <c r="E6" s="39">
        <v>24</v>
      </c>
      <c r="F6" s="39">
        <v>24</v>
      </c>
    </row>
    <row r="7" spans="1:6" ht="14.5" x14ac:dyDescent="0.35">
      <c r="A7" s="38" t="s">
        <v>300</v>
      </c>
      <c r="B7" s="39">
        <v>17</v>
      </c>
      <c r="C7" s="39">
        <v>18</v>
      </c>
      <c r="D7" s="39">
        <v>18</v>
      </c>
      <c r="E7" s="39">
        <v>18</v>
      </c>
      <c r="F7" s="39">
        <v>18</v>
      </c>
    </row>
    <row r="8" spans="1:6" ht="14.5" x14ac:dyDescent="0.35">
      <c r="A8" s="38" t="s">
        <v>301</v>
      </c>
      <c r="B8" s="39">
        <v>4</v>
      </c>
      <c r="C8" s="39">
        <v>4</v>
      </c>
      <c r="D8" s="39">
        <v>4</v>
      </c>
      <c r="E8" s="39">
        <v>4</v>
      </c>
      <c r="F8" s="39">
        <v>4</v>
      </c>
    </row>
    <row r="9" spans="1:6" ht="14.5" x14ac:dyDescent="0.35">
      <c r="A9" s="38" t="s">
        <v>302</v>
      </c>
      <c r="B9" s="39">
        <v>2</v>
      </c>
      <c r="C9" s="39">
        <v>2</v>
      </c>
      <c r="D9" s="39">
        <v>2</v>
      </c>
      <c r="E9" s="39">
        <v>2</v>
      </c>
      <c r="F9" s="39">
        <v>2</v>
      </c>
    </row>
    <row r="10" spans="1:6" ht="14.5" x14ac:dyDescent="0.35">
      <c r="A10" s="38" t="s">
        <v>303</v>
      </c>
      <c r="B10" s="39">
        <v>6</v>
      </c>
      <c r="C10" s="39">
        <v>6</v>
      </c>
      <c r="D10" s="39">
        <v>6</v>
      </c>
      <c r="E10" s="39">
        <v>6</v>
      </c>
      <c r="F10" s="39">
        <v>6</v>
      </c>
    </row>
    <row r="11" spans="1:6" ht="14.5" x14ac:dyDescent="0.35">
      <c r="A11" s="41" t="s">
        <v>304</v>
      </c>
      <c r="B11" s="42">
        <v>291</v>
      </c>
      <c r="C11" s="42">
        <v>293</v>
      </c>
      <c r="D11" s="42">
        <v>293</v>
      </c>
      <c r="E11" s="42">
        <v>293</v>
      </c>
      <c r="F11" s="42">
        <v>293</v>
      </c>
    </row>
    <row r="12" spans="1:6" ht="20" customHeight="1" x14ac:dyDescent="0.35">
      <c r="A12" s="98" t="s">
        <v>822</v>
      </c>
      <c r="B12" s="99"/>
      <c r="C12" s="99"/>
      <c r="D12" s="99"/>
      <c r="E12" s="99"/>
      <c r="F12" s="99"/>
    </row>
    <row r="13" spans="1:6" ht="14.5" x14ac:dyDescent="0.35">
      <c r="A13" s="98" t="s">
        <v>823</v>
      </c>
      <c r="B13" s="99"/>
      <c r="C13" s="99"/>
      <c r="D13" s="99"/>
      <c r="E13" s="99"/>
      <c r="F13" s="99"/>
    </row>
    <row r="14" spans="1:6" ht="14.5" x14ac:dyDescent="0.35">
      <c r="A14" s="44"/>
      <c r="B14" s="35"/>
      <c r="C14" s="35"/>
      <c r="D14" s="35"/>
      <c r="E14" s="35"/>
      <c r="F14" s="35"/>
    </row>
    <row r="15" spans="1:6" ht="14.5" x14ac:dyDescent="0.35">
      <c r="A15" s="35" t="s">
        <v>290</v>
      </c>
      <c r="B15" s="35"/>
      <c r="C15" s="35"/>
      <c r="D15" s="35"/>
      <c r="E15" s="35"/>
      <c r="F15" s="35"/>
    </row>
    <row r="16" spans="1:6" ht="14.5" x14ac:dyDescent="0.35">
      <c r="A16" s="45" t="s">
        <v>291</v>
      </c>
      <c r="B16" s="35"/>
      <c r="C16" s="35"/>
      <c r="D16" s="35"/>
      <c r="E16" s="35"/>
      <c r="F16" s="35"/>
    </row>
    <row r="17" spans="1:6" ht="14.5" x14ac:dyDescent="0.35">
      <c r="A17" s="35"/>
      <c r="B17" s="35"/>
      <c r="C17" s="35"/>
      <c r="D17" s="35"/>
      <c r="E17" s="35"/>
      <c r="F17" s="35"/>
    </row>
    <row r="18" spans="1:6" ht="14.5" x14ac:dyDescent="0.35">
      <c r="A18" s="45" t="s">
        <v>3</v>
      </c>
      <c r="B18" s="35"/>
      <c r="C18" s="35"/>
      <c r="D18" s="35"/>
      <c r="E18" s="35"/>
      <c r="F18" s="35"/>
    </row>
    <row r="19" spans="1:6" ht="14.5" x14ac:dyDescent="0.35">
      <c r="A19" s="35"/>
      <c r="B19" s="35"/>
      <c r="C19" s="35"/>
      <c r="D19" s="35"/>
      <c r="E19" s="35"/>
      <c r="F19" s="35"/>
    </row>
    <row r="20" spans="1:6" ht="14.5" x14ac:dyDescent="0.35">
      <c r="A20" s="45" t="s">
        <v>292</v>
      </c>
      <c r="B20" s="35"/>
      <c r="C20" s="35"/>
      <c r="D20" s="35"/>
      <c r="E20" s="35"/>
      <c r="F20" s="35"/>
    </row>
  </sheetData>
  <mergeCells count="3">
    <mergeCell ref="A13:F13"/>
    <mergeCell ref="A1:F1"/>
    <mergeCell ref="A12:F12"/>
  </mergeCells>
  <hyperlinks>
    <hyperlink ref="A16" r:id="rId1" xr:uid="{00000000-0004-0000-2700-000000000000}"/>
    <hyperlink ref="A18" location="'Technical specifications'!A1" display="Technical specifications" xr:uid="{00000000-0004-0000-2700-000001000000}"/>
    <hyperlink ref="A20" location="Contents!A1" display="Back to contents" xr:uid="{00000000-0004-0000-2700-000002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F16"/>
  <sheetViews>
    <sheetView workbookViewId="0">
      <selection sqref="A1:F1"/>
    </sheetView>
  </sheetViews>
  <sheetFormatPr defaultRowHeight="14.75" customHeight="1" x14ac:dyDescent="0.35"/>
  <cols>
    <col min="1" max="1" width="54" customWidth="1"/>
    <col min="2" max="6" width="11.1796875" customWidth="1"/>
  </cols>
  <sheetData>
    <row r="1" spans="1:6" ht="33.75" customHeight="1" x14ac:dyDescent="0.35">
      <c r="A1" s="96" t="s">
        <v>824</v>
      </c>
      <c r="B1" s="97"/>
      <c r="C1" s="97"/>
      <c r="D1" s="97"/>
      <c r="E1" s="97"/>
      <c r="F1" s="97"/>
    </row>
    <row r="2" spans="1:6" ht="14.5" x14ac:dyDescent="0.35">
      <c r="A2" s="36" t="s">
        <v>276</v>
      </c>
      <c r="B2" s="37" t="s">
        <v>277</v>
      </c>
      <c r="C2" s="37" t="s">
        <v>278</v>
      </c>
      <c r="D2" s="37" t="s">
        <v>279</v>
      </c>
      <c r="E2" s="37" t="s">
        <v>280</v>
      </c>
      <c r="F2" s="37" t="s">
        <v>281</v>
      </c>
    </row>
    <row r="3" spans="1:6" ht="14.5" x14ac:dyDescent="0.35">
      <c r="A3" s="38" t="s">
        <v>284</v>
      </c>
      <c r="B3" s="39">
        <v>40</v>
      </c>
      <c r="C3" s="39">
        <v>40</v>
      </c>
      <c r="D3" s="39">
        <v>40</v>
      </c>
      <c r="E3" s="39">
        <v>40</v>
      </c>
      <c r="F3" s="39">
        <v>40</v>
      </c>
    </row>
    <row r="4" spans="1:6" ht="14.5" x14ac:dyDescent="0.35">
      <c r="A4" s="38" t="s">
        <v>285</v>
      </c>
      <c r="B4" s="39">
        <v>60</v>
      </c>
      <c r="C4" s="39">
        <v>60</v>
      </c>
      <c r="D4" s="39">
        <v>60</v>
      </c>
      <c r="E4" s="39">
        <v>60</v>
      </c>
      <c r="F4" s="39">
        <v>60</v>
      </c>
    </row>
    <row r="5" spans="1:6" ht="14.5" x14ac:dyDescent="0.35">
      <c r="A5" s="38" t="s">
        <v>286</v>
      </c>
      <c r="B5" s="39">
        <v>42</v>
      </c>
      <c r="C5" s="39">
        <v>42</v>
      </c>
      <c r="D5" s="39">
        <v>42</v>
      </c>
      <c r="E5" s="39">
        <v>42</v>
      </c>
      <c r="F5" s="39">
        <v>42</v>
      </c>
    </row>
    <row r="6" spans="1:6" ht="14.5" x14ac:dyDescent="0.35">
      <c r="A6" s="38" t="s">
        <v>287</v>
      </c>
      <c r="B6" s="39">
        <v>64</v>
      </c>
      <c r="C6" s="39">
        <v>65</v>
      </c>
      <c r="D6" s="39">
        <v>65</v>
      </c>
      <c r="E6" s="39">
        <v>65</v>
      </c>
      <c r="F6" s="39">
        <v>65</v>
      </c>
    </row>
    <row r="7" spans="1:6" ht="14.5" x14ac:dyDescent="0.35">
      <c r="A7" s="38" t="s">
        <v>288</v>
      </c>
      <c r="B7" s="39">
        <v>85</v>
      </c>
      <c r="C7" s="39">
        <v>86</v>
      </c>
      <c r="D7" s="39">
        <v>86</v>
      </c>
      <c r="E7" s="39">
        <v>86</v>
      </c>
      <c r="F7" s="39">
        <v>86</v>
      </c>
    </row>
    <row r="8" spans="1:6" ht="14.5" x14ac:dyDescent="0.35">
      <c r="A8" s="41" t="s">
        <v>289</v>
      </c>
      <c r="B8" s="42">
        <v>291</v>
      </c>
      <c r="C8" s="42">
        <v>293</v>
      </c>
      <c r="D8" s="42">
        <v>293</v>
      </c>
      <c r="E8" s="42">
        <v>293</v>
      </c>
      <c r="F8" s="42">
        <v>293</v>
      </c>
    </row>
    <row r="9" spans="1:6" ht="14.5" x14ac:dyDescent="0.35">
      <c r="A9" s="98" t="s">
        <v>825</v>
      </c>
      <c r="B9" s="99"/>
      <c r="C9" s="99"/>
      <c r="D9" s="99"/>
      <c r="E9" s="99"/>
      <c r="F9" s="99"/>
    </row>
    <row r="10" spans="1:6" ht="14.5" x14ac:dyDescent="0.35">
      <c r="A10" s="44"/>
      <c r="B10" s="35"/>
      <c r="C10" s="35"/>
      <c r="D10" s="35"/>
      <c r="E10" s="35"/>
      <c r="F10" s="35"/>
    </row>
    <row r="11" spans="1:6" ht="14.5" x14ac:dyDescent="0.35">
      <c r="A11" s="35" t="s">
        <v>290</v>
      </c>
      <c r="B11" s="35"/>
      <c r="C11" s="35"/>
      <c r="D11" s="35"/>
      <c r="E11" s="35"/>
      <c r="F11" s="35"/>
    </row>
    <row r="12" spans="1:6" ht="14.5" x14ac:dyDescent="0.35">
      <c r="A12" s="45" t="s">
        <v>291</v>
      </c>
      <c r="B12" s="35"/>
      <c r="C12" s="35"/>
      <c r="D12" s="35"/>
      <c r="E12" s="35"/>
      <c r="F12" s="35"/>
    </row>
    <row r="13" spans="1:6" ht="14.5" x14ac:dyDescent="0.35">
      <c r="A13" s="35"/>
      <c r="B13" s="35"/>
      <c r="C13" s="35"/>
      <c r="D13" s="35"/>
      <c r="E13" s="35"/>
      <c r="F13" s="35"/>
    </row>
    <row r="14" spans="1:6" ht="14.5" x14ac:dyDescent="0.35">
      <c r="A14" s="45" t="s">
        <v>3</v>
      </c>
      <c r="B14" s="35"/>
      <c r="C14" s="35"/>
      <c r="D14" s="35"/>
      <c r="E14" s="35"/>
      <c r="F14" s="35"/>
    </row>
    <row r="15" spans="1:6" ht="14.5" x14ac:dyDescent="0.35">
      <c r="A15" s="35"/>
      <c r="B15" s="35"/>
      <c r="C15" s="35"/>
      <c r="D15" s="35"/>
      <c r="E15" s="35"/>
      <c r="F15" s="35"/>
    </row>
    <row r="16" spans="1:6" ht="14.5" x14ac:dyDescent="0.35">
      <c r="A16" s="45" t="s">
        <v>292</v>
      </c>
      <c r="B16" s="35"/>
      <c r="C16" s="35"/>
      <c r="D16" s="35"/>
      <c r="E16" s="35"/>
      <c r="F16" s="35"/>
    </row>
  </sheetData>
  <mergeCells count="2">
    <mergeCell ref="A1:F1"/>
    <mergeCell ref="A9:F9"/>
  </mergeCells>
  <hyperlinks>
    <hyperlink ref="A12" r:id="rId1" xr:uid="{00000000-0004-0000-2800-000000000000}"/>
    <hyperlink ref="A14" location="'Technical specifications'!A1" display="Technical specifications" xr:uid="{00000000-0004-0000-2800-000001000000}"/>
    <hyperlink ref="A16" location="Contents!A1" display="Back to contents" xr:uid="{00000000-0004-0000-2800-000002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J16"/>
  <sheetViews>
    <sheetView workbookViewId="0">
      <selection sqref="A1:J1"/>
    </sheetView>
  </sheetViews>
  <sheetFormatPr defaultRowHeight="14.75" customHeight="1" x14ac:dyDescent="0.35"/>
  <cols>
    <col min="1" max="1" width="54" customWidth="1"/>
    <col min="2" max="10" width="8.453125" customWidth="1"/>
  </cols>
  <sheetData>
    <row r="1" spans="1:10" ht="33.75" customHeight="1" x14ac:dyDescent="0.35">
      <c r="A1" s="96" t="s">
        <v>49</v>
      </c>
      <c r="B1" s="97"/>
      <c r="C1" s="97"/>
      <c r="D1" s="97"/>
      <c r="E1" s="97"/>
      <c r="F1" s="97"/>
      <c r="G1" s="97"/>
      <c r="H1" s="97"/>
      <c r="I1" s="97"/>
      <c r="J1" s="97"/>
    </row>
    <row r="2" spans="1:10" ht="14.5" x14ac:dyDescent="0.35">
      <c r="A2" s="36" t="s">
        <v>276</v>
      </c>
      <c r="B2" s="37" t="s">
        <v>295</v>
      </c>
      <c r="C2" s="57" t="s">
        <v>1309</v>
      </c>
      <c r="D2" s="37" t="s">
        <v>298</v>
      </c>
      <c r="E2" s="37" t="s">
        <v>299</v>
      </c>
      <c r="F2" s="37" t="s">
        <v>300</v>
      </c>
      <c r="G2" s="37" t="s">
        <v>301</v>
      </c>
      <c r="H2" s="37" t="s">
        <v>302</v>
      </c>
      <c r="I2" s="37" t="s">
        <v>303</v>
      </c>
      <c r="J2" s="37" t="s">
        <v>304</v>
      </c>
    </row>
    <row r="3" spans="1:10" ht="14.5" x14ac:dyDescent="0.35">
      <c r="A3" s="38" t="s">
        <v>284</v>
      </c>
      <c r="B3" s="39">
        <v>13</v>
      </c>
      <c r="C3" s="39">
        <v>9</v>
      </c>
      <c r="D3" s="39">
        <v>7</v>
      </c>
      <c r="E3" s="39">
        <v>5</v>
      </c>
      <c r="F3" s="39">
        <v>3</v>
      </c>
      <c r="G3" s="39">
        <v>1</v>
      </c>
      <c r="H3" s="39">
        <v>1</v>
      </c>
      <c r="I3" s="39">
        <v>1</v>
      </c>
      <c r="J3" s="39">
        <v>40</v>
      </c>
    </row>
    <row r="4" spans="1:10" ht="14.5" x14ac:dyDescent="0.35">
      <c r="A4" s="38" t="s">
        <v>285</v>
      </c>
      <c r="B4" s="39">
        <v>21</v>
      </c>
      <c r="C4" s="39">
        <v>16</v>
      </c>
      <c r="D4" s="39">
        <v>12</v>
      </c>
      <c r="E4" s="39">
        <v>4</v>
      </c>
      <c r="F4" s="39">
        <v>3</v>
      </c>
      <c r="G4" s="39">
        <v>2</v>
      </c>
      <c r="H4" s="39">
        <v>1</v>
      </c>
      <c r="I4" s="39">
        <v>1</v>
      </c>
      <c r="J4" s="39">
        <v>60</v>
      </c>
    </row>
    <row r="5" spans="1:10" ht="14.5" x14ac:dyDescent="0.35">
      <c r="A5" s="38" t="s">
        <v>286</v>
      </c>
      <c r="B5" s="39">
        <v>17</v>
      </c>
      <c r="C5" s="39">
        <v>8</v>
      </c>
      <c r="D5" s="39">
        <v>7</v>
      </c>
      <c r="E5" s="39">
        <v>5</v>
      </c>
      <c r="F5" s="39">
        <v>4</v>
      </c>
      <c r="G5" s="39">
        <v>1</v>
      </c>
      <c r="H5" s="40" t="s">
        <v>1278</v>
      </c>
      <c r="I5" s="40" t="s">
        <v>1278</v>
      </c>
      <c r="J5" s="39">
        <v>42</v>
      </c>
    </row>
    <row r="6" spans="1:10" ht="14.5" x14ac:dyDescent="0.35">
      <c r="A6" s="38" t="s">
        <v>287</v>
      </c>
      <c r="B6" s="39">
        <v>37</v>
      </c>
      <c r="C6" s="39">
        <v>6</v>
      </c>
      <c r="D6" s="40" t="s">
        <v>1278</v>
      </c>
      <c r="E6" s="39">
        <v>10</v>
      </c>
      <c r="F6" s="39">
        <v>8</v>
      </c>
      <c r="G6" s="40" t="s">
        <v>1278</v>
      </c>
      <c r="H6" s="40" t="s">
        <v>1278</v>
      </c>
      <c r="I6" s="39">
        <v>4</v>
      </c>
      <c r="J6" s="39">
        <v>65</v>
      </c>
    </row>
    <row r="7" spans="1:10" ht="14.5" x14ac:dyDescent="0.35">
      <c r="A7" s="38" t="s">
        <v>288</v>
      </c>
      <c r="B7" s="39">
        <v>84</v>
      </c>
      <c r="C7" s="39">
        <v>2</v>
      </c>
      <c r="D7" s="40" t="s">
        <v>1278</v>
      </c>
      <c r="E7" s="40" t="s">
        <v>1278</v>
      </c>
      <c r="F7" s="40" t="s">
        <v>1278</v>
      </c>
      <c r="G7" s="40" t="s">
        <v>1278</v>
      </c>
      <c r="H7" s="40" t="s">
        <v>1278</v>
      </c>
      <c r="I7" s="40" t="s">
        <v>1278</v>
      </c>
      <c r="J7" s="39">
        <v>86</v>
      </c>
    </row>
    <row r="8" spans="1:10" ht="14.5" x14ac:dyDescent="0.35">
      <c r="A8" s="41" t="s">
        <v>289</v>
      </c>
      <c r="B8" s="42">
        <v>172</v>
      </c>
      <c r="C8" s="42">
        <v>41</v>
      </c>
      <c r="D8" s="42">
        <v>26</v>
      </c>
      <c r="E8" s="42">
        <v>24</v>
      </c>
      <c r="F8" s="42">
        <v>18</v>
      </c>
      <c r="G8" s="42">
        <v>4</v>
      </c>
      <c r="H8" s="42">
        <v>2</v>
      </c>
      <c r="I8" s="42">
        <v>6</v>
      </c>
      <c r="J8" s="42">
        <v>293</v>
      </c>
    </row>
    <row r="9" spans="1:10" ht="14.5" x14ac:dyDescent="0.35">
      <c r="A9" s="98" t="s">
        <v>826</v>
      </c>
      <c r="B9" s="99"/>
      <c r="C9" s="99"/>
      <c r="D9" s="99"/>
      <c r="E9" s="99"/>
      <c r="F9" s="99"/>
      <c r="G9" s="99"/>
      <c r="H9" s="99"/>
      <c r="I9" s="99"/>
      <c r="J9" s="99"/>
    </row>
    <row r="10" spans="1:10" ht="14.5" x14ac:dyDescent="0.35">
      <c r="A10" s="44"/>
      <c r="B10" s="35"/>
      <c r="C10" s="35"/>
      <c r="D10" s="35"/>
      <c r="E10" s="35"/>
      <c r="F10" s="35"/>
      <c r="G10" s="35"/>
      <c r="H10" s="35"/>
      <c r="I10" s="35"/>
      <c r="J10" s="35"/>
    </row>
    <row r="11" spans="1:10" ht="14.5" x14ac:dyDescent="0.35">
      <c r="A11" s="35" t="s">
        <v>290</v>
      </c>
      <c r="B11" s="35"/>
      <c r="C11" s="35"/>
      <c r="D11" s="35"/>
      <c r="E11" s="35"/>
      <c r="F11" s="35"/>
      <c r="G11" s="35"/>
      <c r="H11" s="35"/>
      <c r="I11" s="35"/>
      <c r="J11" s="35"/>
    </row>
    <row r="12" spans="1:10" ht="14.5" x14ac:dyDescent="0.35">
      <c r="A12" s="45" t="s">
        <v>291</v>
      </c>
      <c r="B12" s="35"/>
      <c r="C12" s="35"/>
      <c r="D12" s="35"/>
      <c r="E12" s="35"/>
      <c r="F12" s="35"/>
      <c r="G12" s="35"/>
      <c r="H12" s="35"/>
      <c r="I12" s="35"/>
      <c r="J12" s="35"/>
    </row>
    <row r="13" spans="1:10" ht="14.5" x14ac:dyDescent="0.35">
      <c r="A13" s="35"/>
      <c r="B13" s="35"/>
      <c r="C13" s="35"/>
      <c r="D13" s="35"/>
      <c r="E13" s="35"/>
      <c r="F13" s="35"/>
      <c r="G13" s="35"/>
      <c r="H13" s="35"/>
      <c r="I13" s="35"/>
      <c r="J13" s="35"/>
    </row>
    <row r="14" spans="1:10" ht="14.5" x14ac:dyDescent="0.35">
      <c r="A14" s="45" t="s">
        <v>3</v>
      </c>
      <c r="B14" s="35"/>
      <c r="C14" s="35"/>
      <c r="D14" s="35"/>
      <c r="E14" s="35"/>
      <c r="F14" s="35"/>
      <c r="G14" s="35"/>
      <c r="H14" s="35"/>
      <c r="I14" s="35"/>
      <c r="J14" s="35"/>
    </row>
    <row r="15" spans="1:10" ht="14.5" x14ac:dyDescent="0.35">
      <c r="A15" s="35"/>
      <c r="B15" s="35"/>
      <c r="C15" s="35"/>
      <c r="D15" s="35"/>
      <c r="E15" s="35"/>
      <c r="F15" s="35"/>
      <c r="G15" s="35"/>
      <c r="H15" s="35"/>
      <c r="I15" s="35"/>
      <c r="J15" s="35"/>
    </row>
    <row r="16" spans="1:10" ht="14.5" x14ac:dyDescent="0.35">
      <c r="A16" s="45" t="s">
        <v>292</v>
      </c>
      <c r="B16" s="35"/>
      <c r="C16" s="35"/>
      <c r="D16" s="35"/>
      <c r="E16" s="35"/>
      <c r="F16" s="35"/>
      <c r="G16" s="35"/>
      <c r="H16" s="35"/>
      <c r="I16" s="35"/>
      <c r="J16" s="35"/>
    </row>
  </sheetData>
  <mergeCells count="2">
    <mergeCell ref="A1:J1"/>
    <mergeCell ref="A9:J9"/>
  </mergeCells>
  <hyperlinks>
    <hyperlink ref="A12" r:id="rId1" xr:uid="{00000000-0004-0000-2900-000000000000}"/>
    <hyperlink ref="A14" location="'Technical specifications'!A1" display="Technical specifications" xr:uid="{00000000-0004-0000-2900-000001000000}"/>
    <hyperlink ref="A16" location="Contents!A1" display="Back to contents" xr:uid="{00000000-0004-0000-2900-000002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J17"/>
  <sheetViews>
    <sheetView workbookViewId="0">
      <selection sqref="A1:J1"/>
    </sheetView>
  </sheetViews>
  <sheetFormatPr defaultRowHeight="14.75" customHeight="1" x14ac:dyDescent="0.35"/>
  <cols>
    <col min="1" max="1" width="15" customWidth="1"/>
    <col min="2" max="10" width="8.453125" customWidth="1"/>
  </cols>
  <sheetData>
    <row r="1" spans="1:10" ht="33.75" customHeight="1" x14ac:dyDescent="0.35">
      <c r="A1" s="96" t="s">
        <v>827</v>
      </c>
      <c r="B1" s="97"/>
      <c r="C1" s="97"/>
      <c r="D1" s="97"/>
      <c r="E1" s="97"/>
      <c r="F1" s="97"/>
      <c r="G1" s="97"/>
      <c r="H1" s="97"/>
      <c r="I1" s="97"/>
      <c r="J1" s="97"/>
    </row>
    <row r="2" spans="1:10" ht="14.5" x14ac:dyDescent="0.35">
      <c r="A2" s="36" t="s">
        <v>337</v>
      </c>
      <c r="B2" s="37" t="s">
        <v>295</v>
      </c>
      <c r="C2" s="37" t="s">
        <v>297</v>
      </c>
      <c r="D2" s="37" t="s">
        <v>298</v>
      </c>
      <c r="E2" s="37" t="s">
        <v>299</v>
      </c>
      <c r="F2" s="37" t="s">
        <v>300</v>
      </c>
      <c r="G2" s="37" t="s">
        <v>301</v>
      </c>
      <c r="H2" s="37" t="s">
        <v>302</v>
      </c>
      <c r="I2" s="37" t="s">
        <v>303</v>
      </c>
      <c r="J2" s="37" t="s">
        <v>304</v>
      </c>
    </row>
    <row r="3" spans="1:10" ht="14.5" x14ac:dyDescent="0.35">
      <c r="A3" s="38" t="s">
        <v>343</v>
      </c>
      <c r="B3" s="40">
        <v>0.86209999999999998</v>
      </c>
      <c r="C3" s="40">
        <v>0.87060000000000004</v>
      </c>
      <c r="D3" s="40">
        <v>1.0971</v>
      </c>
      <c r="E3" s="40">
        <v>1.0421</v>
      </c>
      <c r="F3" s="40">
        <v>1.3340000000000001</v>
      </c>
      <c r="G3" s="40">
        <v>0.77939999999999998</v>
      </c>
      <c r="H3" s="40">
        <v>0.61729999999999996</v>
      </c>
      <c r="I3" s="40">
        <v>1.05</v>
      </c>
      <c r="J3" s="40">
        <v>0.96020000000000005</v>
      </c>
    </row>
    <row r="4" spans="1:10" ht="14.5" x14ac:dyDescent="0.35">
      <c r="A4" s="38" t="s">
        <v>344</v>
      </c>
      <c r="B4" s="40">
        <v>16.309100000000001</v>
      </c>
      <c r="C4" s="40">
        <v>17.763500000000001</v>
      </c>
      <c r="D4" s="40">
        <v>21.5214</v>
      </c>
      <c r="E4" s="40">
        <v>16.442900000000002</v>
      </c>
      <c r="F4" s="40">
        <v>18.0321</v>
      </c>
      <c r="G4" s="40">
        <v>19.330500000000001</v>
      </c>
      <c r="H4" s="40">
        <v>14.5306</v>
      </c>
      <c r="I4" s="40">
        <v>17.317499999999999</v>
      </c>
      <c r="J4" s="40">
        <v>17.8262</v>
      </c>
    </row>
    <row r="5" spans="1:10" ht="14.5" x14ac:dyDescent="0.35">
      <c r="A5" s="38" t="s">
        <v>345</v>
      </c>
      <c r="B5" s="40">
        <v>38.8386</v>
      </c>
      <c r="C5" s="40">
        <v>43.920400000000001</v>
      </c>
      <c r="D5" s="40">
        <v>46.991100000000003</v>
      </c>
      <c r="E5" s="40">
        <v>39.997599999999998</v>
      </c>
      <c r="F5" s="40">
        <v>41.484900000000003</v>
      </c>
      <c r="G5" s="40">
        <v>43.524999999999999</v>
      </c>
      <c r="H5" s="40">
        <v>43.829799999999999</v>
      </c>
      <c r="I5" s="40">
        <v>32.7254</v>
      </c>
      <c r="J5" s="40">
        <v>41.914000000000001</v>
      </c>
    </row>
    <row r="6" spans="1:10" ht="14.5" x14ac:dyDescent="0.35">
      <c r="A6" s="38" t="s">
        <v>346</v>
      </c>
      <c r="B6" s="40">
        <v>36.199599999999997</v>
      </c>
      <c r="C6" s="40">
        <v>32.315399999999997</v>
      </c>
      <c r="D6" s="40">
        <v>26.904199999999999</v>
      </c>
      <c r="E6" s="40">
        <v>37.792499999999997</v>
      </c>
      <c r="F6" s="40">
        <v>33.703800000000001</v>
      </c>
      <c r="G6" s="40">
        <v>32.555</v>
      </c>
      <c r="H6" s="40">
        <v>34.755600000000001</v>
      </c>
      <c r="I6" s="40">
        <v>41.798400000000001</v>
      </c>
      <c r="J6" s="40">
        <v>33.560600000000001</v>
      </c>
    </row>
    <row r="7" spans="1:10" ht="14.5" x14ac:dyDescent="0.35">
      <c r="A7" s="38" t="s">
        <v>347</v>
      </c>
      <c r="B7" s="40">
        <v>7.7093999999999996</v>
      </c>
      <c r="C7" s="40">
        <v>5.1300999999999997</v>
      </c>
      <c r="D7" s="40">
        <v>3.4862000000000002</v>
      </c>
      <c r="E7" s="40">
        <v>4.7084000000000001</v>
      </c>
      <c r="F7" s="40">
        <v>5.4451999999999998</v>
      </c>
      <c r="G7" s="40">
        <v>3.8100999999999998</v>
      </c>
      <c r="H7" s="40">
        <v>6.0880999999999998</v>
      </c>
      <c r="I7" s="40">
        <v>7.1086999999999998</v>
      </c>
      <c r="J7" s="40">
        <v>5.7058</v>
      </c>
    </row>
    <row r="8" spans="1:10" ht="14.5" x14ac:dyDescent="0.35">
      <c r="A8" s="59" t="s">
        <v>1275</v>
      </c>
      <c r="B8" s="43">
        <v>100</v>
      </c>
      <c r="C8" s="43">
        <v>100</v>
      </c>
      <c r="D8" s="43">
        <v>100</v>
      </c>
      <c r="E8" s="43">
        <v>100</v>
      </c>
      <c r="F8" s="43">
        <v>100</v>
      </c>
      <c r="G8" s="43">
        <v>100</v>
      </c>
      <c r="H8" s="43">
        <v>100</v>
      </c>
      <c r="I8" s="43">
        <v>100</v>
      </c>
      <c r="J8" s="43">
        <v>100</v>
      </c>
    </row>
    <row r="9" spans="1:10" ht="14.5" x14ac:dyDescent="0.35">
      <c r="A9" s="100" t="s">
        <v>828</v>
      </c>
      <c r="B9" s="99"/>
      <c r="C9" s="99"/>
      <c r="D9" s="99"/>
      <c r="E9" s="99"/>
      <c r="F9" s="99"/>
      <c r="G9" s="99"/>
      <c r="H9" s="99"/>
      <c r="I9" s="99"/>
      <c r="J9" s="99"/>
    </row>
    <row r="10" spans="1:10" ht="14.5" x14ac:dyDescent="0.35">
      <c r="A10" s="100" t="s">
        <v>829</v>
      </c>
      <c r="B10" s="99"/>
      <c r="C10" s="99"/>
      <c r="D10" s="99"/>
      <c r="E10" s="99"/>
      <c r="F10" s="99"/>
      <c r="G10" s="99"/>
      <c r="H10" s="99"/>
      <c r="I10" s="99"/>
      <c r="J10" s="99"/>
    </row>
    <row r="11" spans="1:10" ht="14.5" x14ac:dyDescent="0.35">
      <c r="A11" s="44"/>
      <c r="B11" s="35"/>
      <c r="C11" s="35"/>
      <c r="D11" s="35"/>
      <c r="E11" s="35"/>
      <c r="F11" s="35"/>
      <c r="G11" s="35"/>
      <c r="H11" s="35"/>
      <c r="I11" s="35"/>
      <c r="J11" s="35"/>
    </row>
    <row r="12" spans="1:10" ht="14.5" x14ac:dyDescent="0.35">
      <c r="A12" s="35" t="s">
        <v>290</v>
      </c>
      <c r="B12" s="35"/>
      <c r="C12" s="35"/>
      <c r="D12" s="35"/>
      <c r="E12" s="35"/>
      <c r="F12" s="35"/>
      <c r="G12" s="35"/>
      <c r="H12" s="35"/>
      <c r="I12" s="35"/>
      <c r="J12" s="35"/>
    </row>
    <row r="13" spans="1:10" ht="14.5" x14ac:dyDescent="0.35">
      <c r="A13" s="45" t="s">
        <v>291</v>
      </c>
      <c r="B13" s="35"/>
      <c r="C13" s="35"/>
      <c r="D13" s="35"/>
      <c r="E13" s="35"/>
      <c r="F13" s="35"/>
      <c r="G13" s="35"/>
      <c r="H13" s="35"/>
      <c r="I13" s="35"/>
      <c r="J13" s="35"/>
    </row>
    <row r="14" spans="1:10" ht="14.5" x14ac:dyDescent="0.35">
      <c r="A14" s="35"/>
      <c r="B14" s="35"/>
      <c r="C14" s="35"/>
      <c r="D14" s="35"/>
      <c r="E14" s="35"/>
      <c r="F14" s="35"/>
      <c r="G14" s="35"/>
      <c r="H14" s="35"/>
      <c r="I14" s="35"/>
      <c r="J14" s="35"/>
    </row>
    <row r="15" spans="1:10" ht="14.5" x14ac:dyDescent="0.35">
      <c r="A15" s="45" t="s">
        <v>3</v>
      </c>
      <c r="B15" s="35"/>
      <c r="C15" s="35"/>
      <c r="D15" s="35"/>
      <c r="E15" s="35"/>
      <c r="F15" s="35"/>
      <c r="G15" s="35"/>
      <c r="H15" s="35"/>
      <c r="I15" s="35"/>
      <c r="J15" s="35"/>
    </row>
    <row r="16" spans="1:10" ht="14.5" x14ac:dyDescent="0.35">
      <c r="A16" s="35"/>
      <c r="B16" s="35"/>
      <c r="C16" s="35"/>
      <c r="D16" s="35"/>
      <c r="E16" s="35"/>
      <c r="F16" s="35"/>
      <c r="G16" s="35"/>
      <c r="H16" s="35"/>
      <c r="I16" s="35"/>
      <c r="J16" s="35"/>
    </row>
    <row r="17" spans="1:10" ht="14.5" x14ac:dyDescent="0.35">
      <c r="A17" s="45" t="s">
        <v>292</v>
      </c>
      <c r="B17" s="35"/>
      <c r="C17" s="35"/>
      <c r="D17" s="35"/>
      <c r="E17" s="35"/>
      <c r="F17" s="35"/>
      <c r="G17" s="35"/>
      <c r="H17" s="35"/>
      <c r="I17" s="35"/>
      <c r="J17" s="35"/>
    </row>
  </sheetData>
  <mergeCells count="3">
    <mergeCell ref="A1:J1"/>
    <mergeCell ref="A9:J9"/>
    <mergeCell ref="A10:J10"/>
  </mergeCells>
  <hyperlinks>
    <hyperlink ref="A13" r:id="rId1" xr:uid="{00000000-0004-0000-2A00-000000000000}"/>
    <hyperlink ref="A15" location="'Technical specifications'!A1" display="Technical specifications" xr:uid="{00000000-0004-0000-2A00-000001000000}"/>
    <hyperlink ref="A17" location="Contents!A1" display="Back to contents" xr:uid="{00000000-0004-0000-2A00-000002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32"/>
  <sheetViews>
    <sheetView workbookViewId="0">
      <selection sqref="A1:K1"/>
    </sheetView>
  </sheetViews>
  <sheetFormatPr defaultRowHeight="14.75" customHeight="1" x14ac:dyDescent="0.35"/>
  <cols>
    <col min="1" max="1" width="8.453125" customWidth="1"/>
    <col min="2" max="2" width="9" customWidth="1"/>
    <col min="3" max="11" width="8.453125" customWidth="1"/>
  </cols>
  <sheetData>
    <row r="1" spans="1:11" ht="33.75" customHeight="1" x14ac:dyDescent="0.35">
      <c r="A1" s="96" t="s">
        <v>830</v>
      </c>
      <c r="B1" s="97"/>
      <c r="C1" s="97"/>
      <c r="D1" s="97"/>
      <c r="E1" s="97"/>
      <c r="F1" s="97"/>
      <c r="G1" s="97"/>
      <c r="H1" s="97"/>
      <c r="I1" s="97"/>
      <c r="J1" s="97"/>
      <c r="K1" s="97"/>
    </row>
    <row r="2" spans="1:11" ht="14.5" x14ac:dyDescent="0.35">
      <c r="A2" s="36" t="s">
        <v>307</v>
      </c>
      <c r="B2" s="36" t="s">
        <v>308</v>
      </c>
      <c r="C2" s="37" t="s">
        <v>295</v>
      </c>
      <c r="D2" s="37" t="s">
        <v>297</v>
      </c>
      <c r="E2" s="37" t="s">
        <v>298</v>
      </c>
      <c r="F2" s="37" t="s">
        <v>299</v>
      </c>
      <c r="G2" s="37" t="s">
        <v>300</v>
      </c>
      <c r="H2" s="57" t="s">
        <v>1310</v>
      </c>
      <c r="I2" s="37" t="s">
        <v>302</v>
      </c>
      <c r="J2" s="37" t="s">
        <v>303</v>
      </c>
      <c r="K2" s="37" t="s">
        <v>304</v>
      </c>
    </row>
    <row r="3" spans="1:11" ht="14.5" x14ac:dyDescent="0.35">
      <c r="A3" s="38" t="s">
        <v>309</v>
      </c>
      <c r="B3" s="38" t="s">
        <v>310</v>
      </c>
      <c r="C3" s="40">
        <v>704.29475013000001</v>
      </c>
      <c r="D3" s="40">
        <v>551.47236301999999</v>
      </c>
      <c r="E3" s="40">
        <v>617.55270105</v>
      </c>
      <c r="F3" s="40">
        <v>689.17933342000003</v>
      </c>
      <c r="G3" s="40">
        <v>705.66738678000002</v>
      </c>
      <c r="H3" s="40">
        <v>526.76133260999995</v>
      </c>
      <c r="I3" s="40">
        <v>697.38805969999999</v>
      </c>
      <c r="J3" s="40">
        <v>1035.2152040000001</v>
      </c>
      <c r="K3" s="40">
        <v>645.94719226999996</v>
      </c>
    </row>
    <row r="4" spans="1:11" ht="14.5" x14ac:dyDescent="0.35">
      <c r="A4" s="38" t="s">
        <v>309</v>
      </c>
      <c r="B4" s="38" t="s">
        <v>311</v>
      </c>
      <c r="C4" s="40">
        <v>313.72750583999999</v>
      </c>
      <c r="D4" s="40">
        <v>234.47727829999999</v>
      </c>
      <c r="E4" s="40">
        <v>246.45539939</v>
      </c>
      <c r="F4" s="40">
        <v>308.99942646</v>
      </c>
      <c r="G4" s="40">
        <v>282.07150367999998</v>
      </c>
      <c r="H4" s="40">
        <v>239.71673949000001</v>
      </c>
      <c r="I4" s="40">
        <v>301.69108585999999</v>
      </c>
      <c r="J4" s="40">
        <v>432.08943133000002</v>
      </c>
      <c r="K4" s="40">
        <v>276.61578889999998</v>
      </c>
    </row>
    <row r="5" spans="1:11" ht="14.5" x14ac:dyDescent="0.35">
      <c r="A5" s="38" t="s">
        <v>309</v>
      </c>
      <c r="B5" s="38" t="s">
        <v>312</v>
      </c>
      <c r="C5" s="40">
        <v>306.45381409999999</v>
      </c>
      <c r="D5" s="40">
        <v>216.20807015</v>
      </c>
      <c r="E5" s="40">
        <v>268.96631747999999</v>
      </c>
      <c r="F5" s="40">
        <v>284.88384238999998</v>
      </c>
      <c r="G5" s="40">
        <v>256.10561615</v>
      </c>
      <c r="H5" s="40">
        <v>299.58445812999997</v>
      </c>
      <c r="I5" s="40">
        <v>272.13753781999998</v>
      </c>
      <c r="J5" s="40">
        <v>513.26774794000005</v>
      </c>
      <c r="K5" s="40">
        <v>271.40202871999998</v>
      </c>
    </row>
    <row r="6" spans="1:11" ht="14.5" x14ac:dyDescent="0.35">
      <c r="A6" s="38" t="s">
        <v>309</v>
      </c>
      <c r="B6" s="38" t="s">
        <v>313</v>
      </c>
      <c r="C6" s="40">
        <v>281.75720331999997</v>
      </c>
      <c r="D6" s="40">
        <v>209.08532543000001</v>
      </c>
      <c r="E6" s="40">
        <v>255.61463175</v>
      </c>
      <c r="F6" s="40">
        <v>264.10520548</v>
      </c>
      <c r="G6" s="40">
        <v>245.51972683</v>
      </c>
      <c r="H6" s="40">
        <v>260.60898494000003</v>
      </c>
      <c r="I6" s="40">
        <v>226.09635949</v>
      </c>
      <c r="J6" s="40">
        <v>502.58361705999999</v>
      </c>
      <c r="K6" s="40">
        <v>254.25982500000001</v>
      </c>
    </row>
    <row r="7" spans="1:11" ht="14.5" x14ac:dyDescent="0.35">
      <c r="A7" s="38" t="s">
        <v>309</v>
      </c>
      <c r="B7" s="38" t="s">
        <v>314</v>
      </c>
      <c r="C7" s="40">
        <v>283.23001410000001</v>
      </c>
      <c r="D7" s="40">
        <v>218.46616768000001</v>
      </c>
      <c r="E7" s="40">
        <v>262.37503243999998</v>
      </c>
      <c r="F7" s="40">
        <v>269.63761195000001</v>
      </c>
      <c r="G7" s="40">
        <v>262.25792826000003</v>
      </c>
      <c r="H7" s="40">
        <v>266.31477926999997</v>
      </c>
      <c r="I7" s="40">
        <v>263.99302053000002</v>
      </c>
      <c r="J7" s="40">
        <v>626.04740244000004</v>
      </c>
      <c r="K7" s="40">
        <v>262.10174626000003</v>
      </c>
    </row>
    <row r="8" spans="1:11" ht="14.5" x14ac:dyDescent="0.35">
      <c r="A8" s="38" t="s">
        <v>309</v>
      </c>
      <c r="B8" s="38" t="s">
        <v>315</v>
      </c>
      <c r="C8" s="40">
        <v>314.65846678999998</v>
      </c>
      <c r="D8" s="40">
        <v>244.37188437</v>
      </c>
      <c r="E8" s="40">
        <v>274.23687209000002</v>
      </c>
      <c r="F8" s="40">
        <v>282.22295531999998</v>
      </c>
      <c r="G8" s="40">
        <v>273.93168178000002</v>
      </c>
      <c r="H8" s="40">
        <v>269.03675234000002</v>
      </c>
      <c r="I8" s="40">
        <v>298.05675939999998</v>
      </c>
      <c r="J8" s="40">
        <v>768.08813516999999</v>
      </c>
      <c r="K8" s="40">
        <v>285.23424858999999</v>
      </c>
    </row>
    <row r="9" spans="1:11" ht="14.5" x14ac:dyDescent="0.35">
      <c r="A9" s="38" t="s">
        <v>309</v>
      </c>
      <c r="B9" s="38" t="s">
        <v>316</v>
      </c>
      <c r="C9" s="40">
        <v>352.15496761999998</v>
      </c>
      <c r="D9" s="40">
        <v>272.17965282</v>
      </c>
      <c r="E9" s="40">
        <v>288.32355068999999</v>
      </c>
      <c r="F9" s="40">
        <v>301.78647768000002</v>
      </c>
      <c r="G9" s="40">
        <v>287.79675880999997</v>
      </c>
      <c r="H9" s="40">
        <v>276.11245067999999</v>
      </c>
      <c r="I9" s="40">
        <v>321.24399311000002</v>
      </c>
      <c r="J9" s="40">
        <v>897.06106289000002</v>
      </c>
      <c r="K9" s="40">
        <v>311.14799993000003</v>
      </c>
    </row>
    <row r="10" spans="1:11" ht="14.5" x14ac:dyDescent="0.35">
      <c r="A10" s="38" t="s">
        <v>309</v>
      </c>
      <c r="B10" s="38" t="s">
        <v>317</v>
      </c>
      <c r="C10" s="40">
        <v>427.09852494</v>
      </c>
      <c r="D10" s="40">
        <v>321.20003661999999</v>
      </c>
      <c r="E10" s="40">
        <v>334.62508797999999</v>
      </c>
      <c r="F10" s="40">
        <v>361.66687605999999</v>
      </c>
      <c r="G10" s="40">
        <v>328.34836156</v>
      </c>
      <c r="H10" s="40">
        <v>305.53558591000001</v>
      </c>
      <c r="I10" s="40">
        <v>438.73566779999999</v>
      </c>
      <c r="J10" s="40">
        <v>868.56319770000005</v>
      </c>
      <c r="K10" s="40">
        <v>367.13453060000001</v>
      </c>
    </row>
    <row r="11" spans="1:11" ht="14.5" x14ac:dyDescent="0.35">
      <c r="A11" s="38" t="s">
        <v>309</v>
      </c>
      <c r="B11" s="38" t="s">
        <v>318</v>
      </c>
      <c r="C11" s="40">
        <v>654.79522917999998</v>
      </c>
      <c r="D11" s="40">
        <v>485.80197006999998</v>
      </c>
      <c r="E11" s="40">
        <v>507.16861979999999</v>
      </c>
      <c r="F11" s="40">
        <v>544.54125412999997</v>
      </c>
      <c r="G11" s="40">
        <v>496.663838</v>
      </c>
      <c r="H11" s="40">
        <v>469.89483981000001</v>
      </c>
      <c r="I11" s="40">
        <v>648.76352396000004</v>
      </c>
      <c r="J11" s="40">
        <v>1172.9155008</v>
      </c>
      <c r="K11" s="40">
        <v>556.25441336999995</v>
      </c>
    </row>
    <row r="12" spans="1:11" ht="14.5" x14ac:dyDescent="0.35">
      <c r="A12" s="38" t="s">
        <v>309</v>
      </c>
      <c r="B12" s="38" t="s">
        <v>831</v>
      </c>
      <c r="C12" s="40">
        <v>1071.7191677000001</v>
      </c>
      <c r="D12" s="40">
        <v>770.29679909000004</v>
      </c>
      <c r="E12" s="40">
        <v>868.03106777999994</v>
      </c>
      <c r="F12" s="40">
        <v>891.93021656999997</v>
      </c>
      <c r="G12" s="40">
        <v>875.66616390000002</v>
      </c>
      <c r="H12" s="40">
        <v>743.65613671999995</v>
      </c>
      <c r="I12" s="40">
        <v>1078.2334384999999</v>
      </c>
      <c r="J12" s="40">
        <v>1540.3726707999999</v>
      </c>
      <c r="K12" s="40">
        <v>914.84555489000002</v>
      </c>
    </row>
    <row r="13" spans="1:11" ht="14.5" x14ac:dyDescent="0.35">
      <c r="A13" s="38" t="s">
        <v>322</v>
      </c>
      <c r="B13" s="38" t="s">
        <v>310</v>
      </c>
      <c r="C13" s="40">
        <v>589.05780617999994</v>
      </c>
      <c r="D13" s="40">
        <v>444.87560037999998</v>
      </c>
      <c r="E13" s="40">
        <v>515.12182768000002</v>
      </c>
      <c r="F13" s="40">
        <v>575.71876410000004</v>
      </c>
      <c r="G13" s="40">
        <v>573.42480210999997</v>
      </c>
      <c r="H13" s="40">
        <v>450.79161318000001</v>
      </c>
      <c r="I13" s="40">
        <v>597.77462120999996</v>
      </c>
      <c r="J13" s="40">
        <v>870.14520127000003</v>
      </c>
      <c r="K13" s="40">
        <v>534.92632796999999</v>
      </c>
    </row>
    <row r="14" spans="1:11" ht="14.5" x14ac:dyDescent="0.35">
      <c r="A14" s="38" t="s">
        <v>322</v>
      </c>
      <c r="B14" s="38" t="s">
        <v>311</v>
      </c>
      <c r="C14" s="40">
        <v>261.19218653000001</v>
      </c>
      <c r="D14" s="40">
        <v>195.83270271000001</v>
      </c>
      <c r="E14" s="40">
        <v>217.71898747</v>
      </c>
      <c r="F14" s="40">
        <v>270.78302293000002</v>
      </c>
      <c r="G14" s="40">
        <v>251.13626578</v>
      </c>
      <c r="H14" s="40">
        <v>220.89146409</v>
      </c>
      <c r="I14" s="40">
        <v>258.72667792999999</v>
      </c>
      <c r="J14" s="40">
        <v>419.75308641999999</v>
      </c>
      <c r="K14" s="40">
        <v>236.78662431999999</v>
      </c>
    </row>
    <row r="15" spans="1:11" ht="14.5" x14ac:dyDescent="0.35">
      <c r="A15" s="38" t="s">
        <v>322</v>
      </c>
      <c r="B15" s="38" t="s">
        <v>312</v>
      </c>
      <c r="C15" s="40">
        <v>383.72000596999999</v>
      </c>
      <c r="D15" s="40">
        <v>282.86357564000002</v>
      </c>
      <c r="E15" s="40">
        <v>362.01601513000003</v>
      </c>
      <c r="F15" s="40">
        <v>391.21978798999999</v>
      </c>
      <c r="G15" s="40">
        <v>369.20686271</v>
      </c>
      <c r="H15" s="40">
        <v>436.21480674999998</v>
      </c>
      <c r="I15" s="40">
        <v>353.63135046000002</v>
      </c>
      <c r="J15" s="40">
        <v>806.36910091000004</v>
      </c>
      <c r="K15" s="40">
        <v>357.26134323000002</v>
      </c>
    </row>
    <row r="16" spans="1:11" ht="14.5" x14ac:dyDescent="0.35">
      <c r="A16" s="38" t="s">
        <v>322</v>
      </c>
      <c r="B16" s="38" t="s">
        <v>313</v>
      </c>
      <c r="C16" s="40">
        <v>351.62263349</v>
      </c>
      <c r="D16" s="40">
        <v>315.13901462000001</v>
      </c>
      <c r="E16" s="40">
        <v>336.61393521000002</v>
      </c>
      <c r="F16" s="40">
        <v>371.84408580000002</v>
      </c>
      <c r="G16" s="40">
        <v>356.85112702999999</v>
      </c>
      <c r="H16" s="40">
        <v>356.49609355000001</v>
      </c>
      <c r="I16" s="40">
        <v>346.56877788999998</v>
      </c>
      <c r="J16" s="40">
        <v>723.95300282000005</v>
      </c>
      <c r="K16" s="40">
        <v>345.92254149000001</v>
      </c>
    </row>
    <row r="17" spans="1:11" ht="14.5" x14ac:dyDescent="0.35">
      <c r="A17" s="38" t="s">
        <v>322</v>
      </c>
      <c r="B17" s="38" t="s">
        <v>314</v>
      </c>
      <c r="C17" s="40">
        <v>296.81216941999998</v>
      </c>
      <c r="D17" s="40">
        <v>258.39701058000003</v>
      </c>
      <c r="E17" s="40">
        <v>273.81709011999999</v>
      </c>
      <c r="F17" s="40">
        <v>312.08085993999998</v>
      </c>
      <c r="G17" s="40">
        <v>282.35125241999998</v>
      </c>
      <c r="H17" s="40">
        <v>302.6082131</v>
      </c>
      <c r="I17" s="40">
        <v>320.14050894000002</v>
      </c>
      <c r="J17" s="40">
        <v>859.31410756000002</v>
      </c>
      <c r="K17" s="40">
        <v>289.28356085000001</v>
      </c>
    </row>
    <row r="18" spans="1:11" ht="14.5" x14ac:dyDescent="0.35">
      <c r="A18" s="38" t="s">
        <v>322</v>
      </c>
      <c r="B18" s="38" t="s">
        <v>315</v>
      </c>
      <c r="C18" s="40">
        <v>293.85549422999998</v>
      </c>
      <c r="D18" s="40">
        <v>230.13417573000001</v>
      </c>
      <c r="E18" s="40">
        <v>259.19427761999998</v>
      </c>
      <c r="F18" s="40">
        <v>287.78985487</v>
      </c>
      <c r="G18" s="40">
        <v>265.48477334</v>
      </c>
      <c r="H18" s="40">
        <v>272.4494459</v>
      </c>
      <c r="I18" s="40">
        <v>292.57115291999997</v>
      </c>
      <c r="J18" s="40">
        <v>971.72285841999997</v>
      </c>
      <c r="K18" s="40">
        <v>273.46222172</v>
      </c>
    </row>
    <row r="19" spans="1:11" ht="14.5" x14ac:dyDescent="0.35">
      <c r="A19" s="38" t="s">
        <v>322</v>
      </c>
      <c r="B19" s="38" t="s">
        <v>316</v>
      </c>
      <c r="C19" s="40">
        <v>308.72982071000001</v>
      </c>
      <c r="D19" s="40">
        <v>239.92895367</v>
      </c>
      <c r="E19" s="40">
        <v>251.97591326</v>
      </c>
      <c r="F19" s="40">
        <v>280.41608513</v>
      </c>
      <c r="G19" s="40">
        <v>260.90898980999998</v>
      </c>
      <c r="H19" s="40">
        <v>245.91263086999999</v>
      </c>
      <c r="I19" s="40">
        <v>309.80240880999997</v>
      </c>
      <c r="J19" s="40">
        <v>796.32799129</v>
      </c>
      <c r="K19" s="40">
        <v>275.44528044999998</v>
      </c>
    </row>
    <row r="20" spans="1:11" ht="14.5" x14ac:dyDescent="0.35">
      <c r="A20" s="38" t="s">
        <v>322</v>
      </c>
      <c r="B20" s="38" t="s">
        <v>317</v>
      </c>
      <c r="C20" s="40">
        <v>367.83111646999998</v>
      </c>
      <c r="D20" s="40">
        <v>276.24238537999997</v>
      </c>
      <c r="E20" s="40">
        <v>287.13170635</v>
      </c>
      <c r="F20" s="40">
        <v>314.97763493999997</v>
      </c>
      <c r="G20" s="40">
        <v>288.23596617999999</v>
      </c>
      <c r="H20" s="40">
        <v>268.49229724000003</v>
      </c>
      <c r="I20" s="40">
        <v>365.35738633</v>
      </c>
      <c r="J20" s="40">
        <v>794.52926208999997</v>
      </c>
      <c r="K20" s="40">
        <v>316.50552925</v>
      </c>
    </row>
    <row r="21" spans="1:11" ht="14.5" x14ac:dyDescent="0.35">
      <c r="A21" s="38" t="s">
        <v>322</v>
      </c>
      <c r="B21" s="38" t="s">
        <v>318</v>
      </c>
      <c r="C21" s="40">
        <v>586.72948947999998</v>
      </c>
      <c r="D21" s="40">
        <v>431.09341312999999</v>
      </c>
      <c r="E21" s="40">
        <v>456.56645198000001</v>
      </c>
      <c r="F21" s="40">
        <v>484.49312818999999</v>
      </c>
      <c r="G21" s="40">
        <v>450.92377094</v>
      </c>
      <c r="H21" s="40">
        <v>430.43771043999999</v>
      </c>
      <c r="I21" s="40">
        <v>582.45810951999999</v>
      </c>
      <c r="J21" s="40">
        <v>1037.8765284999999</v>
      </c>
      <c r="K21" s="40">
        <v>497.50612425999998</v>
      </c>
    </row>
    <row r="22" spans="1:11" ht="14.5" x14ac:dyDescent="0.35">
      <c r="A22" s="49" t="s">
        <v>322</v>
      </c>
      <c r="B22" s="49" t="s">
        <v>831</v>
      </c>
      <c r="C22" s="51">
        <v>918.57673942999998</v>
      </c>
      <c r="D22" s="51">
        <v>641.96347936999996</v>
      </c>
      <c r="E22" s="51">
        <v>761.14770112999997</v>
      </c>
      <c r="F22" s="51">
        <v>753.92284096000003</v>
      </c>
      <c r="G22" s="51">
        <v>758.63218238000002</v>
      </c>
      <c r="H22" s="51">
        <v>643.79355142999998</v>
      </c>
      <c r="I22" s="51">
        <v>943.55342637000001</v>
      </c>
      <c r="J22" s="51">
        <v>1367.5115206999999</v>
      </c>
      <c r="K22" s="51">
        <v>782.41515554</v>
      </c>
    </row>
    <row r="23" spans="1:11" ht="14.5" x14ac:dyDescent="0.35">
      <c r="A23" s="98" t="s">
        <v>832</v>
      </c>
      <c r="B23" s="99"/>
      <c r="C23" s="99"/>
      <c r="D23" s="99"/>
      <c r="E23" s="99"/>
      <c r="F23" s="99"/>
      <c r="G23" s="99"/>
      <c r="H23" s="99"/>
      <c r="I23" s="99"/>
      <c r="J23" s="99"/>
      <c r="K23" s="99"/>
    </row>
    <row r="24" spans="1:11" ht="14.5" x14ac:dyDescent="0.35">
      <c r="A24" s="98" t="s">
        <v>833</v>
      </c>
      <c r="B24" s="99"/>
      <c r="C24" s="99"/>
      <c r="D24" s="99"/>
      <c r="E24" s="99"/>
      <c r="F24" s="99"/>
      <c r="G24" s="99"/>
      <c r="H24" s="99"/>
      <c r="I24" s="99"/>
      <c r="J24" s="99"/>
      <c r="K24" s="99"/>
    </row>
    <row r="25" spans="1:11" ht="14.5" x14ac:dyDescent="0.35">
      <c r="A25" s="98" t="s">
        <v>834</v>
      </c>
      <c r="B25" s="99"/>
      <c r="C25" s="99"/>
      <c r="D25" s="99"/>
      <c r="E25" s="99"/>
      <c r="F25" s="99"/>
      <c r="G25" s="99"/>
      <c r="H25" s="99"/>
      <c r="I25" s="99"/>
      <c r="J25" s="99"/>
      <c r="K25" s="99"/>
    </row>
    <row r="26" spans="1:11" ht="14.5" x14ac:dyDescent="0.35">
      <c r="A26" s="44"/>
      <c r="B26" s="35"/>
      <c r="C26" s="35"/>
      <c r="D26" s="35"/>
      <c r="E26" s="35"/>
      <c r="F26" s="35"/>
      <c r="G26" s="35"/>
      <c r="H26" s="35"/>
      <c r="I26" s="35"/>
      <c r="J26" s="35"/>
      <c r="K26" s="35"/>
    </row>
    <row r="27" spans="1:11" ht="14.5" x14ac:dyDescent="0.35">
      <c r="A27" s="35" t="s">
        <v>290</v>
      </c>
      <c r="B27" s="35"/>
      <c r="C27" s="35"/>
      <c r="D27" s="35"/>
      <c r="E27" s="35"/>
      <c r="F27" s="35"/>
      <c r="G27" s="35"/>
      <c r="H27" s="35"/>
      <c r="I27" s="35"/>
      <c r="J27" s="35"/>
      <c r="K27" s="35"/>
    </row>
    <row r="28" spans="1:11" ht="14.5" x14ac:dyDescent="0.35">
      <c r="A28" s="45" t="s">
        <v>291</v>
      </c>
      <c r="B28" s="35"/>
      <c r="C28" s="35"/>
      <c r="D28" s="35"/>
      <c r="E28" s="35"/>
      <c r="F28" s="35"/>
      <c r="G28" s="35"/>
      <c r="H28" s="35"/>
      <c r="I28" s="35"/>
      <c r="J28" s="35"/>
      <c r="K28" s="35"/>
    </row>
    <row r="29" spans="1:11" ht="14.5" x14ac:dyDescent="0.35">
      <c r="A29" s="35"/>
      <c r="B29" s="35"/>
      <c r="C29" s="35"/>
      <c r="D29" s="35"/>
      <c r="E29" s="35"/>
      <c r="F29" s="35"/>
      <c r="G29" s="35"/>
      <c r="H29" s="35"/>
      <c r="I29" s="35"/>
      <c r="J29" s="35"/>
      <c r="K29" s="35"/>
    </row>
    <row r="30" spans="1:11" ht="14.5" x14ac:dyDescent="0.35">
      <c r="A30" s="45" t="s">
        <v>3</v>
      </c>
      <c r="B30" s="35"/>
      <c r="C30" s="35"/>
      <c r="D30" s="35"/>
      <c r="E30" s="35"/>
      <c r="F30" s="35"/>
      <c r="G30" s="35"/>
      <c r="H30" s="35"/>
      <c r="I30" s="35"/>
      <c r="J30" s="35"/>
      <c r="K30" s="35"/>
    </row>
    <row r="31" spans="1:11" ht="14.5" x14ac:dyDescent="0.35">
      <c r="A31" s="35"/>
      <c r="B31" s="35"/>
      <c r="C31" s="35"/>
      <c r="D31" s="35"/>
      <c r="E31" s="35"/>
      <c r="F31" s="35"/>
      <c r="G31" s="35"/>
      <c r="H31" s="35"/>
      <c r="I31" s="35"/>
      <c r="J31" s="35"/>
      <c r="K31" s="35"/>
    </row>
    <row r="32" spans="1:11" ht="14.5" x14ac:dyDescent="0.35">
      <c r="A32" s="45" t="s">
        <v>292</v>
      </c>
      <c r="B32" s="35"/>
      <c r="C32" s="35"/>
      <c r="D32" s="35"/>
      <c r="E32" s="35"/>
      <c r="F32" s="35"/>
      <c r="G32" s="35"/>
      <c r="H32" s="35"/>
      <c r="I32" s="35"/>
      <c r="J32" s="35"/>
      <c r="K32" s="35"/>
    </row>
  </sheetData>
  <mergeCells count="4">
    <mergeCell ref="A1:K1"/>
    <mergeCell ref="A23:K23"/>
    <mergeCell ref="A25:K25"/>
    <mergeCell ref="A24:K24"/>
  </mergeCells>
  <hyperlinks>
    <hyperlink ref="A28" r:id="rId1" xr:uid="{00000000-0004-0000-2B00-000000000000}"/>
    <hyperlink ref="A30" location="'Technical specifications'!A1" display="Technical specifications" xr:uid="{00000000-0004-0000-2B00-000001000000}"/>
    <hyperlink ref="A32" location="Contents!A1" display="Back to contents" xr:uid="{00000000-0004-0000-2B00-000002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K40"/>
  <sheetViews>
    <sheetView workbookViewId="0">
      <selection sqref="A1:K1"/>
    </sheetView>
  </sheetViews>
  <sheetFormatPr defaultRowHeight="14.75" customHeight="1" x14ac:dyDescent="0.35"/>
  <cols>
    <col min="1" max="1" width="20" customWidth="1"/>
    <col min="2" max="2" width="9" customWidth="1"/>
    <col min="3" max="11" width="8.453125" customWidth="1"/>
  </cols>
  <sheetData>
    <row r="1" spans="1:11" ht="33.75" customHeight="1" x14ac:dyDescent="0.35">
      <c r="A1" s="96" t="s">
        <v>835</v>
      </c>
      <c r="B1" s="97"/>
      <c r="C1" s="97"/>
      <c r="D1" s="97"/>
      <c r="E1" s="97"/>
      <c r="F1" s="97"/>
      <c r="G1" s="97"/>
      <c r="H1" s="97"/>
      <c r="I1" s="97"/>
      <c r="J1" s="97"/>
      <c r="K1" s="97"/>
    </row>
    <row r="2" spans="1:11" ht="14.5" x14ac:dyDescent="0.35">
      <c r="A2" s="36" t="s">
        <v>327</v>
      </c>
      <c r="B2" s="36" t="s">
        <v>308</v>
      </c>
      <c r="C2" s="37" t="s">
        <v>295</v>
      </c>
      <c r="D2" s="37" t="s">
        <v>297</v>
      </c>
      <c r="E2" s="37" t="s">
        <v>298</v>
      </c>
      <c r="F2" s="37" t="s">
        <v>299</v>
      </c>
      <c r="G2" s="37" t="s">
        <v>300</v>
      </c>
      <c r="H2" s="37" t="s">
        <v>301</v>
      </c>
      <c r="I2" s="37" t="s">
        <v>302</v>
      </c>
      <c r="J2" s="37" t="s">
        <v>303</v>
      </c>
      <c r="K2" s="37" t="s">
        <v>304</v>
      </c>
    </row>
    <row r="3" spans="1:11" ht="14.5" x14ac:dyDescent="0.35">
      <c r="A3" s="38" t="s">
        <v>333</v>
      </c>
      <c r="B3" s="38" t="s">
        <v>310</v>
      </c>
      <c r="C3" s="40">
        <v>1019.95718</v>
      </c>
      <c r="D3" s="40">
        <v>860.94477711000002</v>
      </c>
      <c r="E3" s="40">
        <v>723.53482663</v>
      </c>
      <c r="F3" s="40">
        <v>1193.2709142000001</v>
      </c>
      <c r="G3" s="40">
        <v>966.35381618999997</v>
      </c>
      <c r="H3" s="40">
        <v>558.24372760000006</v>
      </c>
      <c r="I3" s="40">
        <v>1079.5918366999999</v>
      </c>
      <c r="J3" s="40">
        <v>1179.8593446</v>
      </c>
      <c r="K3" s="40">
        <v>933.61168348000001</v>
      </c>
    </row>
    <row r="4" spans="1:11" ht="14.5" x14ac:dyDescent="0.35">
      <c r="A4" s="38" t="s">
        <v>333</v>
      </c>
      <c r="B4" s="38" t="s">
        <v>836</v>
      </c>
      <c r="C4" s="40">
        <v>493.33051026999999</v>
      </c>
      <c r="D4" s="40">
        <v>388.87595997</v>
      </c>
      <c r="E4" s="40">
        <v>313.21252059</v>
      </c>
      <c r="F4" s="40">
        <v>578.93937091999999</v>
      </c>
      <c r="G4" s="40">
        <v>412.75797373</v>
      </c>
      <c r="H4" s="40">
        <v>240.49185016000001</v>
      </c>
      <c r="I4" s="40">
        <v>395.06172839999999</v>
      </c>
      <c r="J4" s="40">
        <v>534.27762040000005</v>
      </c>
      <c r="K4" s="40">
        <v>433.62567920999999</v>
      </c>
    </row>
    <row r="5" spans="1:11" ht="14.5" x14ac:dyDescent="0.35">
      <c r="A5" s="38" t="s">
        <v>333</v>
      </c>
      <c r="B5" s="38" t="s">
        <v>837</v>
      </c>
      <c r="C5" s="40">
        <v>491.46197631000001</v>
      </c>
      <c r="D5" s="40">
        <v>373.12572088000002</v>
      </c>
      <c r="E5" s="40">
        <v>306.29392472000001</v>
      </c>
      <c r="F5" s="40">
        <v>537.86827086000005</v>
      </c>
      <c r="G5" s="40">
        <v>439.13557319</v>
      </c>
      <c r="H5" s="40">
        <v>271.98093219999998</v>
      </c>
      <c r="I5" s="40">
        <v>431.20260022000002</v>
      </c>
      <c r="J5" s="40">
        <v>466.32624895999999</v>
      </c>
      <c r="K5" s="40">
        <v>421.43923289000003</v>
      </c>
    </row>
    <row r="6" spans="1:11" ht="14.5" x14ac:dyDescent="0.35">
      <c r="A6" s="38" t="s">
        <v>333</v>
      </c>
      <c r="B6" s="38" t="s">
        <v>838</v>
      </c>
      <c r="C6" s="40">
        <v>763.56674563000001</v>
      </c>
      <c r="D6" s="40">
        <v>689.59920090000003</v>
      </c>
      <c r="E6" s="40">
        <v>568.63073879000001</v>
      </c>
      <c r="F6" s="40">
        <v>847.48085448999996</v>
      </c>
      <c r="G6" s="40">
        <v>772.42375023</v>
      </c>
      <c r="H6" s="40">
        <v>419.52008627999999</v>
      </c>
      <c r="I6" s="40">
        <v>651.45228215999998</v>
      </c>
      <c r="J6" s="40">
        <v>750.31263025999999</v>
      </c>
      <c r="K6" s="40">
        <v>698.07818091000001</v>
      </c>
    </row>
    <row r="7" spans="1:11" ht="14.5" x14ac:dyDescent="0.35">
      <c r="A7" s="38" t="s">
        <v>333</v>
      </c>
      <c r="B7" s="38" t="s">
        <v>839</v>
      </c>
      <c r="C7" s="40">
        <v>906.44700071</v>
      </c>
      <c r="D7" s="40">
        <v>796.51852828999995</v>
      </c>
      <c r="E7" s="40">
        <v>665.63092691999998</v>
      </c>
      <c r="F7" s="40">
        <v>1145.9321070000001</v>
      </c>
      <c r="G7" s="40">
        <v>869.00408689999995</v>
      </c>
      <c r="H7" s="40">
        <v>559.34026532999997</v>
      </c>
      <c r="I7" s="40">
        <v>741.66666667000004</v>
      </c>
      <c r="J7" s="40">
        <v>962.92070736000005</v>
      </c>
      <c r="K7" s="40">
        <v>848.03927062000002</v>
      </c>
    </row>
    <row r="8" spans="1:11" ht="14.5" x14ac:dyDescent="0.35">
      <c r="A8" s="38" t="s">
        <v>333</v>
      </c>
      <c r="B8" s="38" t="s">
        <v>840</v>
      </c>
      <c r="C8" s="40">
        <v>950.15530788000001</v>
      </c>
      <c r="D8" s="40">
        <v>950.52010121000001</v>
      </c>
      <c r="E8" s="40">
        <v>718.98462639000002</v>
      </c>
      <c r="F8" s="40">
        <v>1188.019802</v>
      </c>
      <c r="G8" s="40">
        <v>994.91799491999996</v>
      </c>
      <c r="H8" s="40">
        <v>595.70957095999995</v>
      </c>
      <c r="I8" s="40">
        <v>799.80276133999996</v>
      </c>
      <c r="J8" s="40">
        <v>1103.5956381000001</v>
      </c>
      <c r="K8" s="40">
        <v>918.71504268000001</v>
      </c>
    </row>
    <row r="9" spans="1:11" ht="14.5" x14ac:dyDescent="0.35">
      <c r="A9" s="38" t="s">
        <v>333</v>
      </c>
      <c r="B9" s="38" t="s">
        <v>841</v>
      </c>
      <c r="C9" s="40">
        <v>957.43073047999997</v>
      </c>
      <c r="D9" s="40">
        <v>1009.6295087</v>
      </c>
      <c r="E9" s="40">
        <v>761.54393816000004</v>
      </c>
      <c r="F9" s="40">
        <v>1316.8892719</v>
      </c>
      <c r="G9" s="40">
        <v>1168.157424</v>
      </c>
      <c r="H9" s="40">
        <v>658.66433872000005</v>
      </c>
      <c r="I9" s="40">
        <v>956.73671199</v>
      </c>
      <c r="J9" s="40">
        <v>1265.1069104000001</v>
      </c>
      <c r="K9" s="40">
        <v>983.99889456999995</v>
      </c>
    </row>
    <row r="10" spans="1:11" ht="14.5" x14ac:dyDescent="0.35">
      <c r="A10" s="38" t="s">
        <v>333</v>
      </c>
      <c r="B10" s="38" t="s">
        <v>842</v>
      </c>
      <c r="C10" s="40">
        <v>1003.8729262000001</v>
      </c>
      <c r="D10" s="40">
        <v>1035.9421523000001</v>
      </c>
      <c r="E10" s="40">
        <v>852.65851223000004</v>
      </c>
      <c r="F10" s="40">
        <v>1458.0756864</v>
      </c>
      <c r="G10" s="40">
        <v>1211.7144599999999</v>
      </c>
      <c r="H10" s="40">
        <v>579.71014492999996</v>
      </c>
      <c r="I10" s="40">
        <v>992.48120300999994</v>
      </c>
      <c r="J10" s="40">
        <v>1594.5898778000001</v>
      </c>
      <c r="K10" s="40">
        <v>1080.4913610000001</v>
      </c>
    </row>
    <row r="11" spans="1:11" ht="14.5" x14ac:dyDescent="0.35">
      <c r="A11" s="38" t="s">
        <v>333</v>
      </c>
      <c r="B11" s="38" t="s">
        <v>843</v>
      </c>
      <c r="C11" s="40">
        <v>1009.3081912</v>
      </c>
      <c r="D11" s="40">
        <v>1077.2378517</v>
      </c>
      <c r="E11" s="40">
        <v>873.41949985999997</v>
      </c>
      <c r="F11" s="40">
        <v>1471.1442073999999</v>
      </c>
      <c r="G11" s="40">
        <v>1284.3251653</v>
      </c>
      <c r="H11" s="40">
        <v>650.08576329000005</v>
      </c>
      <c r="I11" s="40">
        <v>1006.0240964</v>
      </c>
      <c r="J11" s="40">
        <v>1847.1015956000001</v>
      </c>
      <c r="K11" s="40">
        <v>1121.2156474999999</v>
      </c>
    </row>
    <row r="12" spans="1:11" ht="14.5" x14ac:dyDescent="0.35">
      <c r="A12" s="38" t="s">
        <v>333</v>
      </c>
      <c r="B12" s="38" t="s">
        <v>844</v>
      </c>
      <c r="C12" s="40">
        <v>915.77394317000005</v>
      </c>
      <c r="D12" s="40">
        <v>1024.2024202</v>
      </c>
      <c r="E12" s="40">
        <v>836.21077916000002</v>
      </c>
      <c r="F12" s="40">
        <v>1390.2279062</v>
      </c>
      <c r="G12" s="40">
        <v>1124.2210219999999</v>
      </c>
      <c r="H12" s="40">
        <v>527.91878172999998</v>
      </c>
      <c r="I12" s="40">
        <v>682.17054264000001</v>
      </c>
      <c r="J12" s="40">
        <v>1857.6263538000001</v>
      </c>
      <c r="K12" s="40">
        <v>1045.2635118000001</v>
      </c>
    </row>
    <row r="13" spans="1:11" ht="14.5" x14ac:dyDescent="0.35">
      <c r="A13" s="38" t="s">
        <v>333</v>
      </c>
      <c r="B13" s="38" t="s">
        <v>845</v>
      </c>
      <c r="C13" s="40">
        <v>910.04356528999995</v>
      </c>
      <c r="D13" s="40">
        <v>937.05583755999999</v>
      </c>
      <c r="E13" s="40">
        <v>713.24578931999997</v>
      </c>
      <c r="F13" s="40">
        <v>1408.9262186999999</v>
      </c>
      <c r="G13" s="40">
        <v>978.71559633000004</v>
      </c>
      <c r="H13" s="40">
        <v>476.00446428999999</v>
      </c>
      <c r="I13" s="40">
        <v>726.45739909999998</v>
      </c>
      <c r="J13" s="40">
        <v>2055.2434456999999</v>
      </c>
      <c r="K13" s="40">
        <v>1001.0543067</v>
      </c>
    </row>
    <row r="14" spans="1:11" ht="14.5" x14ac:dyDescent="0.35">
      <c r="A14" s="38" t="s">
        <v>333</v>
      </c>
      <c r="B14" s="38" t="s">
        <v>846</v>
      </c>
      <c r="C14" s="40">
        <v>857.57682797999996</v>
      </c>
      <c r="D14" s="40">
        <v>946.72382118999997</v>
      </c>
      <c r="E14" s="40">
        <v>744.21469423999997</v>
      </c>
      <c r="F14" s="40">
        <v>1406.274206</v>
      </c>
      <c r="G14" s="40">
        <v>1048.7689393999999</v>
      </c>
      <c r="H14" s="40">
        <v>480.46875</v>
      </c>
      <c r="I14" s="40">
        <v>814.40443213000003</v>
      </c>
      <c r="J14" s="40">
        <v>2048.9938757999998</v>
      </c>
      <c r="K14" s="40">
        <v>995.65259394999998</v>
      </c>
    </row>
    <row r="15" spans="1:11" ht="14.5" x14ac:dyDescent="0.35">
      <c r="A15" s="38" t="s">
        <v>333</v>
      </c>
      <c r="B15" s="38" t="s">
        <v>847</v>
      </c>
      <c r="C15" s="40">
        <v>792.06361704000005</v>
      </c>
      <c r="D15" s="40">
        <v>968.80871852999996</v>
      </c>
      <c r="E15" s="40">
        <v>701.78947368000001</v>
      </c>
      <c r="F15" s="40">
        <v>1209.516873</v>
      </c>
      <c r="G15" s="40">
        <v>771.35278515000005</v>
      </c>
      <c r="H15" s="40">
        <v>435.93220338999998</v>
      </c>
      <c r="I15" s="40">
        <v>611.48648648999995</v>
      </c>
      <c r="J15" s="40">
        <v>1841.6826004</v>
      </c>
      <c r="K15" s="40">
        <v>889.81200555999999</v>
      </c>
    </row>
    <row r="16" spans="1:11" ht="14.5" x14ac:dyDescent="0.35">
      <c r="A16" s="38" t="s">
        <v>333</v>
      </c>
      <c r="B16" s="38" t="s">
        <v>848</v>
      </c>
      <c r="C16" s="40">
        <v>1181.0085948000001</v>
      </c>
      <c r="D16" s="40">
        <v>992.09959301000004</v>
      </c>
      <c r="E16" s="40">
        <v>863.07024410999998</v>
      </c>
      <c r="F16" s="40">
        <v>1308.6811058000001</v>
      </c>
      <c r="G16" s="40">
        <v>942.11344211000005</v>
      </c>
      <c r="H16" s="40">
        <v>770.62267163000001</v>
      </c>
      <c r="I16" s="40">
        <v>1606.25</v>
      </c>
      <c r="J16" s="40">
        <v>1702.4261911999999</v>
      </c>
      <c r="K16" s="40">
        <v>1090.8461537999999</v>
      </c>
    </row>
    <row r="17" spans="1:11" ht="14.5" x14ac:dyDescent="0.35">
      <c r="A17" s="58" t="s">
        <v>1311</v>
      </c>
      <c r="B17" s="38" t="s">
        <v>310</v>
      </c>
      <c r="C17" s="40">
        <v>609.45801854000001</v>
      </c>
      <c r="D17" s="40">
        <v>493.73727843</v>
      </c>
      <c r="E17" s="40">
        <v>549.80948579000005</v>
      </c>
      <c r="F17" s="40">
        <v>582.63751592000006</v>
      </c>
      <c r="G17" s="40">
        <v>617.74967291999997</v>
      </c>
      <c r="H17" s="40">
        <v>471.71932544999999</v>
      </c>
      <c r="I17" s="40">
        <v>625.74437038999997</v>
      </c>
      <c r="J17" s="40">
        <v>848.90829694000001</v>
      </c>
      <c r="K17" s="40">
        <v>563.56041654000001</v>
      </c>
    </row>
    <row r="18" spans="1:11" ht="14.5" x14ac:dyDescent="0.35">
      <c r="A18" s="58" t="s">
        <v>1311</v>
      </c>
      <c r="B18" s="38" t="s">
        <v>836</v>
      </c>
      <c r="C18" s="40">
        <v>277.54914417999998</v>
      </c>
      <c r="D18" s="40">
        <v>221.03015546</v>
      </c>
      <c r="E18" s="40">
        <v>226.93209658000001</v>
      </c>
      <c r="F18" s="40">
        <v>278.47990119000002</v>
      </c>
      <c r="G18" s="40">
        <v>262.82432363999999</v>
      </c>
      <c r="H18" s="40">
        <v>224.09164131</v>
      </c>
      <c r="I18" s="40">
        <v>264.71122081999999</v>
      </c>
      <c r="J18" s="40">
        <v>408.61143076000002</v>
      </c>
      <c r="K18" s="40">
        <v>250.97508583000001</v>
      </c>
    </row>
    <row r="19" spans="1:11" ht="14.5" x14ac:dyDescent="0.35">
      <c r="A19" s="58" t="s">
        <v>1311</v>
      </c>
      <c r="B19" s="38" t="s">
        <v>837</v>
      </c>
      <c r="C19" s="40">
        <v>268.20361652999998</v>
      </c>
      <c r="D19" s="40">
        <v>207.92316388</v>
      </c>
      <c r="E19" s="40">
        <v>222.15046720999999</v>
      </c>
      <c r="F19" s="40">
        <v>270.23234602999997</v>
      </c>
      <c r="G19" s="40">
        <v>252.9915024</v>
      </c>
      <c r="H19" s="40">
        <v>223.29575953</v>
      </c>
      <c r="I19" s="40">
        <v>292.21328041999999</v>
      </c>
      <c r="J19" s="40">
        <v>378.24499062000001</v>
      </c>
      <c r="K19" s="40">
        <v>242.29627599</v>
      </c>
    </row>
    <row r="20" spans="1:11" ht="14.5" x14ac:dyDescent="0.35">
      <c r="A20" s="58" t="s">
        <v>1311</v>
      </c>
      <c r="B20" s="38" t="s">
        <v>838</v>
      </c>
      <c r="C20" s="40">
        <v>328.64903927</v>
      </c>
      <c r="D20" s="40">
        <v>243.38498152</v>
      </c>
      <c r="E20" s="40">
        <v>295.78805075999998</v>
      </c>
      <c r="F20" s="40">
        <v>305.39276769999998</v>
      </c>
      <c r="G20" s="40">
        <v>300.55023317000001</v>
      </c>
      <c r="H20" s="40">
        <v>345.84395014</v>
      </c>
      <c r="I20" s="40">
        <v>358.00297130000001</v>
      </c>
      <c r="J20" s="40">
        <v>518.03503951000005</v>
      </c>
      <c r="K20" s="40">
        <v>296.84233053000003</v>
      </c>
    </row>
    <row r="21" spans="1:11" ht="14.5" x14ac:dyDescent="0.35">
      <c r="A21" s="58" t="s">
        <v>1311</v>
      </c>
      <c r="B21" s="38" t="s">
        <v>839</v>
      </c>
      <c r="C21" s="40">
        <v>313.98214717000002</v>
      </c>
      <c r="D21" s="40">
        <v>251.17755937000001</v>
      </c>
      <c r="E21" s="40">
        <v>307.90733846000001</v>
      </c>
      <c r="F21" s="40">
        <v>311.03433331999997</v>
      </c>
      <c r="G21" s="40">
        <v>288.73648832999999</v>
      </c>
      <c r="H21" s="40">
        <v>360.77849727</v>
      </c>
      <c r="I21" s="40">
        <v>304.93737419000001</v>
      </c>
      <c r="J21" s="40">
        <v>550.04906771000003</v>
      </c>
      <c r="K21" s="40">
        <v>295.72581967000002</v>
      </c>
    </row>
    <row r="22" spans="1:11" ht="14.5" x14ac:dyDescent="0.35">
      <c r="A22" s="58" t="s">
        <v>1311</v>
      </c>
      <c r="B22" s="38" t="s">
        <v>840</v>
      </c>
      <c r="C22" s="40">
        <v>301.68502066000002</v>
      </c>
      <c r="D22" s="40">
        <v>251.72088054</v>
      </c>
      <c r="E22" s="40">
        <v>287.54873376</v>
      </c>
      <c r="F22" s="40">
        <v>299.71283686999999</v>
      </c>
      <c r="G22" s="40">
        <v>287.48069276000001</v>
      </c>
      <c r="H22" s="40">
        <v>297.05659954999999</v>
      </c>
      <c r="I22" s="40">
        <v>275.17900357000002</v>
      </c>
      <c r="J22" s="40">
        <v>434.30967428000002</v>
      </c>
      <c r="K22" s="40">
        <v>284.48017449999998</v>
      </c>
    </row>
    <row r="23" spans="1:11" ht="14.5" x14ac:dyDescent="0.35">
      <c r="A23" s="58" t="s">
        <v>1311</v>
      </c>
      <c r="B23" s="38" t="s">
        <v>841</v>
      </c>
      <c r="C23" s="40">
        <v>294.82922121000001</v>
      </c>
      <c r="D23" s="40">
        <v>264.39508997000002</v>
      </c>
      <c r="E23" s="40">
        <v>274.45059737000003</v>
      </c>
      <c r="F23" s="40">
        <v>289.87085202999998</v>
      </c>
      <c r="G23" s="40">
        <v>282.77777325</v>
      </c>
      <c r="H23" s="40">
        <v>271.26656506</v>
      </c>
      <c r="I23" s="40">
        <v>284.90863418999999</v>
      </c>
      <c r="J23" s="40">
        <v>410.76627300000001</v>
      </c>
      <c r="K23" s="40">
        <v>281.58975289</v>
      </c>
    </row>
    <row r="24" spans="1:11" ht="14.5" x14ac:dyDescent="0.35">
      <c r="A24" s="58" t="s">
        <v>1311</v>
      </c>
      <c r="B24" s="38" t="s">
        <v>842</v>
      </c>
      <c r="C24" s="40">
        <v>276.73222243999999</v>
      </c>
      <c r="D24" s="40">
        <v>245.16948987999999</v>
      </c>
      <c r="E24" s="40">
        <v>250.83688584999999</v>
      </c>
      <c r="F24" s="40">
        <v>264.00692292000002</v>
      </c>
      <c r="G24" s="40">
        <v>256.32901055000002</v>
      </c>
      <c r="H24" s="40">
        <v>267.77095530000003</v>
      </c>
      <c r="I24" s="40">
        <v>288.88110757999999</v>
      </c>
      <c r="J24" s="40">
        <v>416.43698320999999</v>
      </c>
      <c r="K24" s="40">
        <v>261.52722732000001</v>
      </c>
    </row>
    <row r="25" spans="1:11" ht="14.5" x14ac:dyDescent="0.35">
      <c r="A25" s="58" t="s">
        <v>1311</v>
      </c>
      <c r="B25" s="38" t="s">
        <v>843</v>
      </c>
      <c r="C25" s="40">
        <v>273.96051656999998</v>
      </c>
      <c r="D25" s="40">
        <v>232.39688870000001</v>
      </c>
      <c r="E25" s="40">
        <v>251.69080589000001</v>
      </c>
      <c r="F25" s="40">
        <v>256.77928056000002</v>
      </c>
      <c r="G25" s="40">
        <v>256.87821794000001</v>
      </c>
      <c r="H25" s="40">
        <v>271.96244013</v>
      </c>
      <c r="I25" s="40">
        <v>288.91785406999998</v>
      </c>
      <c r="J25" s="40">
        <v>439.56294104</v>
      </c>
      <c r="K25" s="40">
        <v>256.86103322000002</v>
      </c>
    </row>
    <row r="26" spans="1:11" ht="14.5" x14ac:dyDescent="0.35">
      <c r="A26" s="58" t="s">
        <v>1311</v>
      </c>
      <c r="B26" s="38" t="s">
        <v>844</v>
      </c>
      <c r="C26" s="40">
        <v>278.99728356999998</v>
      </c>
      <c r="D26" s="40">
        <v>229.70007136999999</v>
      </c>
      <c r="E26" s="40">
        <v>245.85400425</v>
      </c>
      <c r="F26" s="40">
        <v>248.33217511999999</v>
      </c>
      <c r="G26" s="40">
        <v>249.14001178000001</v>
      </c>
      <c r="H26" s="40">
        <v>255.35253162000001</v>
      </c>
      <c r="I26" s="40">
        <v>289.61478763999997</v>
      </c>
      <c r="J26" s="40">
        <v>459.47653430000003</v>
      </c>
      <c r="K26" s="40">
        <v>254.86638009999999</v>
      </c>
    </row>
    <row r="27" spans="1:11" ht="14.5" x14ac:dyDescent="0.35">
      <c r="A27" s="58" t="s">
        <v>1311</v>
      </c>
      <c r="B27" s="38" t="s">
        <v>845</v>
      </c>
      <c r="C27" s="40">
        <v>293.75456931999997</v>
      </c>
      <c r="D27" s="40">
        <v>234.14410258000001</v>
      </c>
      <c r="E27" s="40">
        <v>248.77690086000001</v>
      </c>
      <c r="F27" s="40">
        <v>250.20195999000001</v>
      </c>
      <c r="G27" s="40">
        <v>251.62894152000001</v>
      </c>
      <c r="H27" s="40">
        <v>257.64466947</v>
      </c>
      <c r="I27" s="40">
        <v>296.73050317000002</v>
      </c>
      <c r="J27" s="40">
        <v>476.60311958</v>
      </c>
      <c r="K27" s="40">
        <v>261.72483120999999</v>
      </c>
    </row>
    <row r="28" spans="1:11" ht="14.5" x14ac:dyDescent="0.35">
      <c r="A28" s="58" t="s">
        <v>1311</v>
      </c>
      <c r="B28" s="38" t="s">
        <v>846</v>
      </c>
      <c r="C28" s="40">
        <v>307.23577396000002</v>
      </c>
      <c r="D28" s="40">
        <v>250.78339235000001</v>
      </c>
      <c r="E28" s="40">
        <v>250.32054828</v>
      </c>
      <c r="F28" s="40">
        <v>259.78280243</v>
      </c>
      <c r="G28" s="40">
        <v>256.83060109000002</v>
      </c>
      <c r="H28" s="40">
        <v>251.09862926</v>
      </c>
      <c r="I28" s="40">
        <v>300.27908599</v>
      </c>
      <c r="J28" s="40">
        <v>523.99175743000001</v>
      </c>
      <c r="K28" s="40">
        <v>272.12404286999998</v>
      </c>
    </row>
    <row r="29" spans="1:11" ht="14.5" x14ac:dyDescent="0.35">
      <c r="A29" s="58" t="s">
        <v>1311</v>
      </c>
      <c r="B29" s="38" t="s">
        <v>847</v>
      </c>
      <c r="C29" s="40">
        <v>326.57596419999999</v>
      </c>
      <c r="D29" s="40">
        <v>254.96245542</v>
      </c>
      <c r="E29" s="40">
        <v>263.65686862000001</v>
      </c>
      <c r="F29" s="40">
        <v>271.30130449000001</v>
      </c>
      <c r="G29" s="40">
        <v>268.52420473000001</v>
      </c>
      <c r="H29" s="40">
        <v>252.49047181</v>
      </c>
      <c r="I29" s="40">
        <v>329.35606060999999</v>
      </c>
      <c r="J29" s="40">
        <v>513.04624522999995</v>
      </c>
      <c r="K29" s="40">
        <v>284.66307410000002</v>
      </c>
    </row>
    <row r="30" spans="1:11" ht="15" thickBot="1" x14ac:dyDescent="0.4">
      <c r="A30" s="72" t="s">
        <v>1311</v>
      </c>
      <c r="B30" s="49" t="s">
        <v>848</v>
      </c>
      <c r="C30" s="51">
        <v>749.01398586000005</v>
      </c>
      <c r="D30" s="51">
        <v>557.55611714999998</v>
      </c>
      <c r="E30" s="51">
        <v>566.23114709000004</v>
      </c>
      <c r="F30" s="51">
        <v>606.87092595000001</v>
      </c>
      <c r="G30" s="51">
        <v>591.93443178999996</v>
      </c>
      <c r="H30" s="51">
        <v>716.06961323999997</v>
      </c>
      <c r="I30" s="51">
        <v>1029.4006675000001</v>
      </c>
      <c r="J30" s="51">
        <v>1073.2499694000001</v>
      </c>
      <c r="K30" s="51">
        <v>631.77184421000004</v>
      </c>
    </row>
    <row r="31" spans="1:11" ht="14.5" x14ac:dyDescent="0.35">
      <c r="A31" s="98" t="s">
        <v>849</v>
      </c>
      <c r="B31" s="99"/>
      <c r="C31" s="99"/>
      <c r="D31" s="99"/>
      <c r="E31" s="99"/>
      <c r="F31" s="99"/>
      <c r="G31" s="99"/>
      <c r="H31" s="99"/>
      <c r="I31" s="99"/>
      <c r="J31" s="99"/>
      <c r="K31" s="99"/>
    </row>
    <row r="32" spans="1:11" ht="14.5" x14ac:dyDescent="0.35">
      <c r="A32" s="98" t="s">
        <v>850</v>
      </c>
      <c r="B32" s="99"/>
      <c r="C32" s="99"/>
      <c r="D32" s="99"/>
      <c r="E32" s="99"/>
      <c r="F32" s="99"/>
      <c r="G32" s="99"/>
      <c r="H32" s="99"/>
      <c r="I32" s="99"/>
      <c r="J32" s="99"/>
      <c r="K32" s="99"/>
    </row>
    <row r="33" spans="1:11" ht="14.5" x14ac:dyDescent="0.35">
      <c r="A33" s="98" t="s">
        <v>851</v>
      </c>
      <c r="B33" s="99"/>
      <c r="C33" s="99"/>
      <c r="D33" s="99"/>
      <c r="E33" s="99"/>
      <c r="F33" s="99"/>
      <c r="G33" s="99"/>
      <c r="H33" s="99"/>
      <c r="I33" s="99"/>
      <c r="J33" s="99"/>
      <c r="K33" s="99"/>
    </row>
    <row r="34" spans="1:11" ht="14.5" x14ac:dyDescent="0.35">
      <c r="A34" s="44"/>
      <c r="B34" s="35"/>
      <c r="C34" s="35"/>
      <c r="D34" s="35"/>
      <c r="E34" s="35"/>
      <c r="F34" s="35"/>
      <c r="G34" s="35"/>
      <c r="H34" s="35"/>
      <c r="I34" s="35"/>
      <c r="J34" s="35"/>
      <c r="K34" s="35"/>
    </row>
    <row r="35" spans="1:11" ht="14.5" x14ac:dyDescent="0.35">
      <c r="A35" s="35" t="s">
        <v>290</v>
      </c>
      <c r="B35" s="35"/>
      <c r="C35" s="35"/>
      <c r="D35" s="35"/>
      <c r="E35" s="35"/>
      <c r="F35" s="35"/>
      <c r="G35" s="35"/>
      <c r="H35" s="35"/>
      <c r="I35" s="35"/>
      <c r="J35" s="35"/>
      <c r="K35" s="35"/>
    </row>
    <row r="36" spans="1:11" ht="14.5" x14ac:dyDescent="0.35">
      <c r="A36" s="45" t="s">
        <v>291</v>
      </c>
      <c r="B36" s="35"/>
      <c r="C36" s="35"/>
      <c r="D36" s="35"/>
      <c r="E36" s="35"/>
      <c r="F36" s="35"/>
      <c r="G36" s="35"/>
      <c r="H36" s="35"/>
      <c r="I36" s="35"/>
      <c r="J36" s="35"/>
      <c r="K36" s="35"/>
    </row>
    <row r="37" spans="1:11" ht="14.5" x14ac:dyDescent="0.35">
      <c r="A37" s="35"/>
      <c r="B37" s="35"/>
      <c r="C37" s="35"/>
      <c r="D37" s="35"/>
      <c r="E37" s="35"/>
      <c r="F37" s="35"/>
      <c r="G37" s="35"/>
      <c r="H37" s="35"/>
      <c r="I37" s="35"/>
      <c r="J37" s="35"/>
      <c r="K37" s="35"/>
    </row>
    <row r="38" spans="1:11" ht="14.5" x14ac:dyDescent="0.35">
      <c r="A38" s="45" t="s">
        <v>3</v>
      </c>
      <c r="B38" s="35"/>
      <c r="C38" s="35"/>
      <c r="D38" s="35"/>
      <c r="E38" s="35"/>
      <c r="F38" s="35"/>
      <c r="G38" s="35"/>
      <c r="H38" s="35"/>
      <c r="I38" s="35"/>
      <c r="J38" s="35"/>
      <c r="K38" s="35"/>
    </row>
    <row r="39" spans="1:11" ht="14.5" x14ac:dyDescent="0.35">
      <c r="A39" s="35"/>
      <c r="B39" s="35"/>
      <c r="C39" s="35"/>
      <c r="D39" s="35"/>
      <c r="E39" s="35"/>
      <c r="F39" s="35"/>
      <c r="G39" s="35"/>
      <c r="H39" s="35"/>
      <c r="I39" s="35"/>
      <c r="J39" s="35"/>
      <c r="K39" s="35"/>
    </row>
    <row r="40" spans="1:11" ht="14.5" x14ac:dyDescent="0.35">
      <c r="A40" s="45" t="s">
        <v>292</v>
      </c>
      <c r="B40" s="35"/>
      <c r="C40" s="35"/>
      <c r="D40" s="35"/>
      <c r="E40" s="35"/>
      <c r="F40" s="35"/>
      <c r="G40" s="35"/>
      <c r="H40" s="35"/>
      <c r="I40" s="35"/>
      <c r="J40" s="35"/>
      <c r="K40" s="35"/>
    </row>
  </sheetData>
  <mergeCells count="4">
    <mergeCell ref="A33:K33"/>
    <mergeCell ref="A1:K1"/>
    <mergeCell ref="A32:K32"/>
    <mergeCell ref="A31:K31"/>
  </mergeCells>
  <hyperlinks>
    <hyperlink ref="A36" r:id="rId1" xr:uid="{00000000-0004-0000-2C00-000000000000}"/>
    <hyperlink ref="A38" location="'Technical specifications'!A1" display="Technical specifications" xr:uid="{00000000-0004-0000-2C00-000001000000}"/>
    <hyperlink ref="A40" location="Contents!A1" display="Back to contents" xr:uid="{00000000-0004-0000-2C00-000002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J36"/>
  <sheetViews>
    <sheetView workbookViewId="0">
      <selection sqref="A1:J1"/>
    </sheetView>
  </sheetViews>
  <sheetFormatPr defaultRowHeight="14.75" customHeight="1" x14ac:dyDescent="0.35"/>
  <cols>
    <col min="1" max="1" width="51" customWidth="1"/>
    <col min="2" max="10" width="8.453125" customWidth="1"/>
  </cols>
  <sheetData>
    <row r="1" spans="1:10" ht="33.75" customHeight="1" x14ac:dyDescent="0.35">
      <c r="A1" s="96" t="s">
        <v>852</v>
      </c>
      <c r="B1" s="97"/>
      <c r="C1" s="97"/>
      <c r="D1" s="97"/>
      <c r="E1" s="97"/>
      <c r="F1" s="97"/>
      <c r="G1" s="97"/>
      <c r="H1" s="97"/>
      <c r="I1" s="97"/>
      <c r="J1" s="97"/>
    </row>
    <row r="2" spans="1:10" ht="14.5" x14ac:dyDescent="0.35">
      <c r="A2" s="36" t="s">
        <v>853</v>
      </c>
      <c r="B2" s="37" t="s">
        <v>295</v>
      </c>
      <c r="C2" s="37" t="s">
        <v>297</v>
      </c>
      <c r="D2" s="37" t="s">
        <v>298</v>
      </c>
      <c r="E2" s="37" t="s">
        <v>299</v>
      </c>
      <c r="F2" s="37" t="s">
        <v>300</v>
      </c>
      <c r="G2" s="37" t="s">
        <v>301</v>
      </c>
      <c r="H2" s="37" t="s">
        <v>302</v>
      </c>
      <c r="I2" s="37" t="s">
        <v>303</v>
      </c>
      <c r="J2" s="37" t="s">
        <v>304</v>
      </c>
    </row>
    <row r="3" spans="1:10" ht="14.5" x14ac:dyDescent="0.35">
      <c r="A3" s="38" t="s">
        <v>854</v>
      </c>
      <c r="B3" s="39">
        <v>202913</v>
      </c>
      <c r="C3" s="39">
        <v>110619</v>
      </c>
      <c r="D3" s="39">
        <v>60993</v>
      </c>
      <c r="E3" s="39">
        <v>102396</v>
      </c>
      <c r="F3" s="39">
        <v>43766</v>
      </c>
      <c r="G3" s="39">
        <v>8873</v>
      </c>
      <c r="H3" s="39">
        <v>5499</v>
      </c>
      <c r="I3" s="39">
        <v>18542</v>
      </c>
      <c r="J3" s="39">
        <v>553601</v>
      </c>
    </row>
    <row r="4" spans="1:10" ht="14.5" x14ac:dyDescent="0.35">
      <c r="A4" s="38" t="s">
        <v>855</v>
      </c>
      <c r="B4" s="39">
        <v>176777</v>
      </c>
      <c r="C4" s="39">
        <v>98461</v>
      </c>
      <c r="D4" s="39">
        <v>119482</v>
      </c>
      <c r="E4" s="39">
        <v>39672</v>
      </c>
      <c r="F4" s="39">
        <v>31642</v>
      </c>
      <c r="G4" s="39">
        <v>8642</v>
      </c>
      <c r="H4" s="39">
        <v>8833</v>
      </c>
      <c r="I4" s="39">
        <v>6280</v>
      </c>
      <c r="J4" s="39">
        <v>489789</v>
      </c>
    </row>
    <row r="5" spans="1:10" ht="14.5" x14ac:dyDescent="0.35">
      <c r="A5" s="38" t="s">
        <v>856</v>
      </c>
      <c r="B5" s="39">
        <v>53283</v>
      </c>
      <c r="C5" s="39">
        <v>40096</v>
      </c>
      <c r="D5" s="39">
        <v>20917</v>
      </c>
      <c r="E5" s="39">
        <v>15674</v>
      </c>
      <c r="F5" s="39">
        <v>6497</v>
      </c>
      <c r="G5" s="39">
        <v>1985</v>
      </c>
      <c r="H5" s="39">
        <v>2611</v>
      </c>
      <c r="I5" s="39">
        <v>2630</v>
      </c>
      <c r="J5" s="39">
        <v>143693</v>
      </c>
    </row>
    <row r="6" spans="1:10" ht="14.5" x14ac:dyDescent="0.35">
      <c r="A6" s="38" t="s">
        <v>857</v>
      </c>
      <c r="B6" s="39">
        <v>76597</v>
      </c>
      <c r="C6" s="39">
        <v>50783</v>
      </c>
      <c r="D6" s="39">
        <v>38338</v>
      </c>
      <c r="E6" s="39">
        <v>32056</v>
      </c>
      <c r="F6" s="39">
        <v>14312</v>
      </c>
      <c r="G6" s="39">
        <v>3918</v>
      </c>
      <c r="H6" s="39">
        <v>3820</v>
      </c>
      <c r="I6" s="39">
        <v>6080</v>
      </c>
      <c r="J6" s="39">
        <v>225904</v>
      </c>
    </row>
    <row r="7" spans="1:10" ht="14.5" x14ac:dyDescent="0.35">
      <c r="A7" s="38" t="s">
        <v>858</v>
      </c>
      <c r="B7" s="39">
        <v>308902</v>
      </c>
      <c r="C7" s="39">
        <v>176578</v>
      </c>
      <c r="D7" s="39">
        <v>156228</v>
      </c>
      <c r="E7" s="39">
        <v>93836</v>
      </c>
      <c r="F7" s="39">
        <v>65241</v>
      </c>
      <c r="G7" s="39">
        <v>15583</v>
      </c>
      <c r="H7" s="39">
        <v>15621</v>
      </c>
      <c r="I7" s="39">
        <v>19235</v>
      </c>
      <c r="J7" s="39">
        <v>851224</v>
      </c>
    </row>
    <row r="8" spans="1:10" ht="14.5" x14ac:dyDescent="0.35">
      <c r="A8" s="38" t="s">
        <v>859</v>
      </c>
      <c r="B8" s="39">
        <v>284382</v>
      </c>
      <c r="C8" s="39">
        <v>205571</v>
      </c>
      <c r="D8" s="39">
        <v>172730</v>
      </c>
      <c r="E8" s="39">
        <v>85357</v>
      </c>
      <c r="F8" s="39">
        <v>56242</v>
      </c>
      <c r="G8" s="39">
        <v>19514</v>
      </c>
      <c r="H8" s="39">
        <v>17173</v>
      </c>
      <c r="I8" s="39">
        <v>13999</v>
      </c>
      <c r="J8" s="39">
        <v>854968</v>
      </c>
    </row>
    <row r="9" spans="1:10" ht="14.5" x14ac:dyDescent="0.35">
      <c r="A9" s="38" t="s">
        <v>860</v>
      </c>
      <c r="B9" s="39">
        <v>375163</v>
      </c>
      <c r="C9" s="39">
        <v>245253</v>
      </c>
      <c r="D9" s="39">
        <v>207334</v>
      </c>
      <c r="E9" s="39">
        <v>108514</v>
      </c>
      <c r="F9" s="39">
        <v>73975</v>
      </c>
      <c r="G9" s="39">
        <v>20678</v>
      </c>
      <c r="H9" s="39">
        <v>23046</v>
      </c>
      <c r="I9" s="39">
        <v>16725</v>
      </c>
      <c r="J9" s="39">
        <v>1070688</v>
      </c>
    </row>
    <row r="10" spans="1:10" ht="14.5" x14ac:dyDescent="0.35">
      <c r="A10" s="38" t="s">
        <v>861</v>
      </c>
      <c r="B10" s="39">
        <v>23173</v>
      </c>
      <c r="C10" s="39">
        <v>17820</v>
      </c>
      <c r="D10" s="39">
        <v>18520</v>
      </c>
      <c r="E10" s="39">
        <v>10363</v>
      </c>
      <c r="F10" s="39">
        <v>6218</v>
      </c>
      <c r="G10" s="39">
        <v>2115</v>
      </c>
      <c r="H10" s="39">
        <v>1786</v>
      </c>
      <c r="I10" s="39">
        <v>1583</v>
      </c>
      <c r="J10" s="39">
        <v>81578</v>
      </c>
    </row>
    <row r="11" spans="1:10" ht="14.5" x14ac:dyDescent="0.35">
      <c r="A11" s="38" t="s">
        <v>862</v>
      </c>
      <c r="B11" s="39">
        <v>186445</v>
      </c>
      <c r="C11" s="39">
        <v>106885</v>
      </c>
      <c r="D11" s="39">
        <v>92305</v>
      </c>
      <c r="E11" s="39">
        <v>37158</v>
      </c>
      <c r="F11" s="39">
        <v>25569</v>
      </c>
      <c r="G11" s="39">
        <v>8811</v>
      </c>
      <c r="H11" s="39">
        <v>11737</v>
      </c>
      <c r="I11" s="39">
        <v>12584</v>
      </c>
      <c r="J11" s="39">
        <v>481494</v>
      </c>
    </row>
    <row r="12" spans="1:10" ht="14.5" x14ac:dyDescent="0.35">
      <c r="A12" s="38" t="s">
        <v>863</v>
      </c>
      <c r="B12" s="39">
        <v>148655</v>
      </c>
      <c r="C12" s="39">
        <v>77437</v>
      </c>
      <c r="D12" s="39">
        <v>79932</v>
      </c>
      <c r="E12" s="39">
        <v>48537</v>
      </c>
      <c r="F12" s="39">
        <v>24997</v>
      </c>
      <c r="G12" s="39">
        <v>6594</v>
      </c>
      <c r="H12" s="39">
        <v>6517</v>
      </c>
      <c r="I12" s="39">
        <v>13327</v>
      </c>
      <c r="J12" s="39">
        <v>405996</v>
      </c>
    </row>
    <row r="13" spans="1:10" ht="14.5" x14ac:dyDescent="0.35">
      <c r="A13" s="38" t="s">
        <v>864</v>
      </c>
      <c r="B13" s="39">
        <v>28823</v>
      </c>
      <c r="C13" s="39">
        <v>20587</v>
      </c>
      <c r="D13" s="39">
        <v>20060</v>
      </c>
      <c r="E13" s="39">
        <v>10636</v>
      </c>
      <c r="F13" s="39">
        <v>6606</v>
      </c>
      <c r="G13" s="39">
        <v>1997</v>
      </c>
      <c r="H13" s="39">
        <v>1590</v>
      </c>
      <c r="I13" s="39">
        <v>1954</v>
      </c>
      <c r="J13" s="39">
        <v>92253</v>
      </c>
    </row>
    <row r="14" spans="1:10" ht="14.5" x14ac:dyDescent="0.35">
      <c r="A14" s="38" t="s">
        <v>865</v>
      </c>
      <c r="B14" s="39">
        <v>101485</v>
      </c>
      <c r="C14" s="39">
        <v>61749</v>
      </c>
      <c r="D14" s="39">
        <v>59589</v>
      </c>
      <c r="E14" s="39">
        <v>33268</v>
      </c>
      <c r="F14" s="39">
        <v>20596</v>
      </c>
      <c r="G14" s="39">
        <v>5754</v>
      </c>
      <c r="H14" s="39">
        <v>5737</v>
      </c>
      <c r="I14" s="39">
        <v>8258</v>
      </c>
      <c r="J14" s="39">
        <v>296436</v>
      </c>
    </row>
    <row r="15" spans="1:10" ht="14.5" x14ac:dyDescent="0.35">
      <c r="A15" s="38" t="s">
        <v>866</v>
      </c>
      <c r="B15" s="39">
        <v>13917</v>
      </c>
      <c r="C15" s="39">
        <v>7432</v>
      </c>
      <c r="D15" s="39">
        <v>9177</v>
      </c>
      <c r="E15" s="39">
        <v>5186</v>
      </c>
      <c r="F15" s="39">
        <v>2795</v>
      </c>
      <c r="G15" s="39">
        <v>501</v>
      </c>
      <c r="H15" s="39">
        <v>986</v>
      </c>
      <c r="I15" s="39">
        <v>680</v>
      </c>
      <c r="J15" s="39">
        <v>40674</v>
      </c>
    </row>
    <row r="16" spans="1:10" ht="14.5" x14ac:dyDescent="0.35">
      <c r="A16" s="38" t="s">
        <v>867</v>
      </c>
      <c r="B16" s="39">
        <v>32788</v>
      </c>
      <c r="C16" s="39">
        <v>24750</v>
      </c>
      <c r="D16" s="39">
        <v>16121</v>
      </c>
      <c r="E16" s="39">
        <v>10263</v>
      </c>
      <c r="F16" s="39">
        <v>4657</v>
      </c>
      <c r="G16" s="39">
        <v>2017</v>
      </c>
      <c r="H16" s="39">
        <v>1525</v>
      </c>
      <c r="I16" s="39">
        <v>2196</v>
      </c>
      <c r="J16" s="39">
        <v>94317</v>
      </c>
    </row>
    <row r="17" spans="1:10" ht="14.5" x14ac:dyDescent="0.35">
      <c r="A17" s="38" t="s">
        <v>868</v>
      </c>
      <c r="B17" s="39">
        <v>21259</v>
      </c>
      <c r="C17" s="39">
        <v>42997</v>
      </c>
      <c r="D17" s="39">
        <v>16051</v>
      </c>
      <c r="E17" s="39">
        <v>12136</v>
      </c>
      <c r="F17" s="39">
        <v>6837</v>
      </c>
      <c r="G17" s="39">
        <v>1236</v>
      </c>
      <c r="H17" s="39">
        <v>2127</v>
      </c>
      <c r="I17" s="39">
        <v>1248</v>
      </c>
      <c r="J17" s="39">
        <v>103891</v>
      </c>
    </row>
    <row r="18" spans="1:10" ht="14.5" x14ac:dyDescent="0.35">
      <c r="A18" s="38" t="s">
        <v>869</v>
      </c>
      <c r="B18" s="39">
        <v>1389</v>
      </c>
      <c r="C18" s="39">
        <v>3272</v>
      </c>
      <c r="D18" s="39">
        <v>1429</v>
      </c>
      <c r="E18" s="39">
        <v>706</v>
      </c>
      <c r="F18" s="39">
        <v>486</v>
      </c>
      <c r="G18" s="39">
        <v>116</v>
      </c>
      <c r="H18" s="39">
        <v>119</v>
      </c>
      <c r="I18" s="39">
        <v>75</v>
      </c>
      <c r="J18" s="39">
        <v>7592</v>
      </c>
    </row>
    <row r="19" spans="1:10" ht="14.5" x14ac:dyDescent="0.35">
      <c r="A19" s="38" t="s">
        <v>870</v>
      </c>
      <c r="B19" s="39">
        <v>17157</v>
      </c>
      <c r="C19" s="39">
        <v>12111</v>
      </c>
      <c r="D19" s="39">
        <v>10178</v>
      </c>
      <c r="E19" s="39">
        <v>6115</v>
      </c>
      <c r="F19" s="39">
        <v>3435</v>
      </c>
      <c r="G19" s="39">
        <v>1007</v>
      </c>
      <c r="H19" s="39">
        <v>906</v>
      </c>
      <c r="I19" s="39">
        <v>790</v>
      </c>
      <c r="J19" s="39">
        <v>51699</v>
      </c>
    </row>
    <row r="20" spans="1:10" ht="14.5" x14ac:dyDescent="0.35">
      <c r="A20" s="38" t="s">
        <v>871</v>
      </c>
      <c r="B20" s="39">
        <v>9077</v>
      </c>
      <c r="C20" s="39">
        <v>5617</v>
      </c>
      <c r="D20" s="39">
        <v>6845</v>
      </c>
      <c r="E20" s="39">
        <v>3197</v>
      </c>
      <c r="F20" s="39">
        <v>1823</v>
      </c>
      <c r="G20" s="39">
        <v>755</v>
      </c>
      <c r="H20" s="39">
        <v>315</v>
      </c>
      <c r="I20" s="39">
        <v>305</v>
      </c>
      <c r="J20" s="39">
        <v>27934</v>
      </c>
    </row>
    <row r="21" spans="1:10" ht="14.5" x14ac:dyDescent="0.35">
      <c r="A21" s="38" t="s">
        <v>872</v>
      </c>
      <c r="B21" s="39">
        <v>110129</v>
      </c>
      <c r="C21" s="39">
        <v>76490</v>
      </c>
      <c r="D21" s="39">
        <v>75147</v>
      </c>
      <c r="E21" s="39">
        <v>41580</v>
      </c>
      <c r="F21" s="39">
        <v>20226</v>
      </c>
      <c r="G21" s="39">
        <v>6006</v>
      </c>
      <c r="H21" s="39">
        <v>6979</v>
      </c>
      <c r="I21" s="39">
        <v>6654</v>
      </c>
      <c r="J21" s="39">
        <v>343211</v>
      </c>
    </row>
    <row r="22" spans="1:10" ht="14.5" x14ac:dyDescent="0.35">
      <c r="A22" s="38" t="s">
        <v>873</v>
      </c>
      <c r="B22" s="39">
        <v>112914</v>
      </c>
      <c r="C22" s="39">
        <v>83401</v>
      </c>
      <c r="D22" s="39">
        <v>93238</v>
      </c>
      <c r="E22" s="39">
        <v>41116</v>
      </c>
      <c r="F22" s="39">
        <v>32085</v>
      </c>
      <c r="G22" s="39">
        <v>7287</v>
      </c>
      <c r="H22" s="39">
        <v>7214</v>
      </c>
      <c r="I22" s="39">
        <v>7925</v>
      </c>
      <c r="J22" s="39">
        <v>385180</v>
      </c>
    </row>
    <row r="23" spans="1:10" ht="14.5" x14ac:dyDescent="0.35">
      <c r="A23" s="38" t="s">
        <v>874</v>
      </c>
      <c r="B23" s="39">
        <v>632363</v>
      </c>
      <c r="C23" s="39">
        <v>401685</v>
      </c>
      <c r="D23" s="39">
        <v>358656</v>
      </c>
      <c r="E23" s="39">
        <v>242244</v>
      </c>
      <c r="F23" s="39">
        <v>130110</v>
      </c>
      <c r="G23" s="39">
        <v>40778</v>
      </c>
      <c r="H23" s="39">
        <v>36478</v>
      </c>
      <c r="I23" s="39">
        <v>29955</v>
      </c>
      <c r="J23" s="39">
        <v>1872269</v>
      </c>
    </row>
    <row r="24" spans="1:10" ht="14.5" x14ac:dyDescent="0.35">
      <c r="A24" s="38" t="s">
        <v>875</v>
      </c>
      <c r="B24" s="39">
        <v>163539</v>
      </c>
      <c r="C24" s="39">
        <v>83265</v>
      </c>
      <c r="D24" s="39">
        <v>43800</v>
      </c>
      <c r="E24" s="39">
        <v>11747</v>
      </c>
      <c r="F24" s="39">
        <v>33967</v>
      </c>
      <c r="G24" s="39">
        <v>11738</v>
      </c>
      <c r="H24" s="39">
        <v>4928</v>
      </c>
      <c r="I24" s="39">
        <v>2806</v>
      </c>
      <c r="J24" s="39">
        <v>355790</v>
      </c>
    </row>
    <row r="25" spans="1:10" ht="14.5" x14ac:dyDescent="0.35">
      <c r="A25" s="38" t="s">
        <v>876</v>
      </c>
      <c r="B25" s="39">
        <v>74033</v>
      </c>
      <c r="C25" s="39">
        <v>25407</v>
      </c>
      <c r="D25" s="39">
        <v>24945</v>
      </c>
      <c r="E25" s="39">
        <v>26821</v>
      </c>
      <c r="F25" s="39">
        <v>9947</v>
      </c>
      <c r="G25" s="39">
        <v>6966</v>
      </c>
      <c r="H25" s="39">
        <v>1653</v>
      </c>
      <c r="I25" s="39">
        <v>14282</v>
      </c>
      <c r="J25" s="39">
        <v>184054</v>
      </c>
    </row>
    <row r="26" spans="1:10" ht="14.5" x14ac:dyDescent="0.35">
      <c r="A26" s="58" t="s">
        <v>1312</v>
      </c>
      <c r="B26" s="39">
        <v>5310</v>
      </c>
      <c r="C26" s="39">
        <v>1</v>
      </c>
      <c r="D26" s="39">
        <v>64824</v>
      </c>
      <c r="E26" s="39">
        <v>8439</v>
      </c>
      <c r="F26" s="39">
        <v>847</v>
      </c>
      <c r="G26" s="39">
        <v>249</v>
      </c>
      <c r="H26" s="39">
        <v>403</v>
      </c>
      <c r="I26" s="39">
        <v>4</v>
      </c>
      <c r="J26" s="39">
        <v>80077</v>
      </c>
    </row>
    <row r="27" spans="1:10" ht="14.5" x14ac:dyDescent="0.35">
      <c r="A27" s="41" t="s">
        <v>304</v>
      </c>
      <c r="B27" s="42">
        <v>3160473</v>
      </c>
      <c r="C27" s="42">
        <v>1978267</v>
      </c>
      <c r="D27" s="42">
        <v>1766839</v>
      </c>
      <c r="E27" s="42">
        <v>1027017</v>
      </c>
      <c r="F27" s="42">
        <v>622876</v>
      </c>
      <c r="G27" s="42">
        <v>183120</v>
      </c>
      <c r="H27" s="42">
        <v>167603</v>
      </c>
      <c r="I27" s="42">
        <v>188117</v>
      </c>
      <c r="J27" s="42">
        <v>9094312</v>
      </c>
    </row>
    <row r="28" spans="1:10" ht="14.5" x14ac:dyDescent="0.35">
      <c r="A28" s="98" t="s">
        <v>877</v>
      </c>
      <c r="B28" s="99"/>
      <c r="C28" s="99"/>
      <c r="D28" s="99"/>
      <c r="E28" s="99"/>
      <c r="F28" s="99"/>
      <c r="G28" s="99"/>
      <c r="H28" s="99"/>
      <c r="I28" s="99"/>
      <c r="J28" s="99"/>
    </row>
    <row r="29" spans="1:10" ht="19" customHeight="1" x14ac:dyDescent="0.35">
      <c r="A29" s="98" t="s">
        <v>878</v>
      </c>
      <c r="B29" s="99"/>
      <c r="C29" s="99"/>
      <c r="D29" s="99"/>
      <c r="E29" s="99"/>
      <c r="F29" s="99"/>
      <c r="G29" s="99"/>
      <c r="H29" s="99"/>
      <c r="I29" s="99"/>
      <c r="J29" s="99"/>
    </row>
    <row r="30" spans="1:10" ht="14.5" x14ac:dyDescent="0.35">
      <c r="A30" s="44"/>
      <c r="B30" s="35"/>
      <c r="C30" s="35"/>
      <c r="D30" s="35"/>
      <c r="E30" s="35"/>
      <c r="F30" s="35"/>
      <c r="G30" s="35"/>
      <c r="H30" s="35"/>
      <c r="I30" s="35"/>
      <c r="J30" s="35"/>
    </row>
    <row r="31" spans="1:10" ht="14.5" x14ac:dyDescent="0.35">
      <c r="A31" s="35" t="s">
        <v>290</v>
      </c>
      <c r="B31" s="35"/>
      <c r="C31" s="35"/>
      <c r="D31" s="35"/>
      <c r="E31" s="35"/>
      <c r="F31" s="35"/>
      <c r="G31" s="35"/>
      <c r="H31" s="35"/>
      <c r="I31" s="35"/>
      <c r="J31" s="35"/>
    </row>
    <row r="32" spans="1:10" ht="14.5" x14ac:dyDescent="0.35">
      <c r="A32" s="45" t="s">
        <v>291</v>
      </c>
      <c r="B32" s="35"/>
      <c r="C32" s="35"/>
      <c r="D32" s="35"/>
      <c r="E32" s="35"/>
      <c r="F32" s="35"/>
      <c r="G32" s="35"/>
      <c r="H32" s="35"/>
      <c r="I32" s="35"/>
      <c r="J32" s="35"/>
    </row>
    <row r="33" spans="1:10" ht="14.5" x14ac:dyDescent="0.35">
      <c r="A33" s="35"/>
      <c r="B33" s="35"/>
      <c r="C33" s="35"/>
      <c r="D33" s="35"/>
      <c r="E33" s="35"/>
      <c r="F33" s="35"/>
      <c r="G33" s="35"/>
      <c r="H33" s="35"/>
      <c r="I33" s="35"/>
      <c r="J33" s="35"/>
    </row>
    <row r="34" spans="1:10" ht="14.5" x14ac:dyDescent="0.35">
      <c r="A34" s="45" t="s">
        <v>3</v>
      </c>
      <c r="B34" s="35"/>
      <c r="C34" s="35"/>
      <c r="D34" s="35"/>
      <c r="E34" s="35"/>
      <c r="F34" s="35"/>
      <c r="G34" s="35"/>
      <c r="H34" s="35"/>
      <c r="I34" s="35"/>
      <c r="J34" s="35"/>
    </row>
    <row r="35" spans="1:10" ht="14.5" x14ac:dyDescent="0.35">
      <c r="A35" s="35"/>
      <c r="B35" s="35"/>
      <c r="C35" s="35"/>
      <c r="D35" s="35"/>
      <c r="E35" s="35"/>
      <c r="F35" s="35"/>
      <c r="G35" s="35"/>
      <c r="H35" s="35"/>
      <c r="I35" s="35"/>
      <c r="J35" s="35"/>
    </row>
    <row r="36" spans="1:10" ht="14.5" x14ac:dyDescent="0.35">
      <c r="A36" s="45" t="s">
        <v>292</v>
      </c>
      <c r="B36" s="35"/>
      <c r="C36" s="35"/>
      <c r="D36" s="35"/>
      <c r="E36" s="35"/>
      <c r="F36" s="35"/>
      <c r="G36" s="35"/>
      <c r="H36" s="35"/>
      <c r="I36" s="35"/>
      <c r="J36" s="35"/>
    </row>
  </sheetData>
  <mergeCells count="3">
    <mergeCell ref="A1:J1"/>
    <mergeCell ref="A28:J28"/>
    <mergeCell ref="A29:J29"/>
  </mergeCells>
  <hyperlinks>
    <hyperlink ref="A32" r:id="rId1" xr:uid="{00000000-0004-0000-2D00-000000000000}"/>
    <hyperlink ref="A34" location="'Technical specifications'!A1" display="Technical specifications" xr:uid="{00000000-0004-0000-2D00-000001000000}"/>
    <hyperlink ref="A36" location="Contents!A1" display="Back to contents" xr:uid="{00000000-0004-0000-2D00-000002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G193"/>
  <sheetViews>
    <sheetView workbookViewId="0">
      <selection sqref="A1:G1"/>
    </sheetView>
  </sheetViews>
  <sheetFormatPr defaultRowHeight="14.75" customHeight="1" x14ac:dyDescent="0.35"/>
  <cols>
    <col min="1" max="1" width="87" customWidth="1"/>
    <col min="2" max="7" width="14.36328125" customWidth="1"/>
  </cols>
  <sheetData>
    <row r="1" spans="1:7" ht="33.75" customHeight="1" x14ac:dyDescent="0.35">
      <c r="A1" s="96" t="s">
        <v>879</v>
      </c>
      <c r="B1" s="97"/>
      <c r="C1" s="97"/>
      <c r="D1" s="97"/>
      <c r="E1" s="97"/>
      <c r="F1" s="97"/>
      <c r="G1" s="97"/>
    </row>
    <row r="2" spans="1:7" ht="14.5" x14ac:dyDescent="0.35">
      <c r="A2" s="36" t="s">
        <v>880</v>
      </c>
      <c r="B2" s="37" t="s">
        <v>343</v>
      </c>
      <c r="C2" s="37" t="s">
        <v>344</v>
      </c>
      <c r="D2" s="37" t="s">
        <v>345</v>
      </c>
      <c r="E2" s="37" t="s">
        <v>346</v>
      </c>
      <c r="F2" s="37" t="s">
        <v>347</v>
      </c>
      <c r="G2" s="57" t="s">
        <v>1275</v>
      </c>
    </row>
    <row r="3" spans="1:7" ht="14.5" x14ac:dyDescent="0.35">
      <c r="A3" s="38" t="s">
        <v>881</v>
      </c>
      <c r="B3" s="39">
        <v>145</v>
      </c>
      <c r="C3" s="39">
        <v>10639</v>
      </c>
      <c r="D3" s="39">
        <v>154504</v>
      </c>
      <c r="E3" s="39">
        <v>239364</v>
      </c>
      <c r="F3" s="39">
        <v>71776</v>
      </c>
      <c r="G3" s="39">
        <v>479189</v>
      </c>
    </row>
    <row r="4" spans="1:7" ht="14.5" x14ac:dyDescent="0.35">
      <c r="A4" s="38" t="s">
        <v>882</v>
      </c>
      <c r="B4" s="39">
        <v>48</v>
      </c>
      <c r="C4" s="39">
        <v>1691</v>
      </c>
      <c r="D4" s="39">
        <v>8669</v>
      </c>
      <c r="E4" s="39">
        <v>25151</v>
      </c>
      <c r="F4" s="39">
        <v>37385</v>
      </c>
      <c r="G4" s="39">
        <v>72957</v>
      </c>
    </row>
    <row r="5" spans="1:7" ht="14.5" x14ac:dyDescent="0.35">
      <c r="A5" s="38" t="s">
        <v>363</v>
      </c>
      <c r="B5" s="39">
        <v>19</v>
      </c>
      <c r="C5" s="39">
        <v>11</v>
      </c>
      <c r="D5" s="39">
        <v>16</v>
      </c>
      <c r="E5" s="39">
        <v>22</v>
      </c>
      <c r="F5" s="39">
        <v>1321</v>
      </c>
      <c r="G5" s="39">
        <v>1455</v>
      </c>
    </row>
    <row r="6" spans="1:7" ht="14.5" x14ac:dyDescent="0.35">
      <c r="A6" s="38" t="s">
        <v>883</v>
      </c>
      <c r="B6" s="39">
        <v>86</v>
      </c>
      <c r="C6" s="39">
        <v>829</v>
      </c>
      <c r="D6" s="39">
        <v>2024</v>
      </c>
      <c r="E6" s="39">
        <v>1302</v>
      </c>
      <c r="F6" s="39">
        <v>0</v>
      </c>
      <c r="G6" s="39">
        <v>4241</v>
      </c>
    </row>
    <row r="7" spans="1:7" ht="14.5" x14ac:dyDescent="0.35">
      <c r="A7" s="38" t="s">
        <v>884</v>
      </c>
      <c r="B7" s="39">
        <v>0</v>
      </c>
      <c r="C7" s="39">
        <v>101</v>
      </c>
      <c r="D7" s="39">
        <v>1642</v>
      </c>
      <c r="E7" s="39">
        <v>1127</v>
      </c>
      <c r="F7" s="39">
        <v>439</v>
      </c>
      <c r="G7" s="39">
        <v>3309</v>
      </c>
    </row>
    <row r="8" spans="1:7" ht="14.5" x14ac:dyDescent="0.35">
      <c r="A8" s="38" t="s">
        <v>885</v>
      </c>
      <c r="B8" s="39">
        <v>1438</v>
      </c>
      <c r="C8" s="39">
        <v>11302</v>
      </c>
      <c r="D8" s="39">
        <v>14467</v>
      </c>
      <c r="E8" s="39">
        <v>0</v>
      </c>
      <c r="F8" s="39">
        <v>0</v>
      </c>
      <c r="G8" s="39">
        <v>27207</v>
      </c>
    </row>
    <row r="9" spans="1:7" ht="14.5" x14ac:dyDescent="0.35">
      <c r="A9" s="38" t="s">
        <v>886</v>
      </c>
      <c r="B9" s="39">
        <v>12</v>
      </c>
      <c r="C9" s="39">
        <v>1132</v>
      </c>
      <c r="D9" s="39">
        <v>11784</v>
      </c>
      <c r="E9" s="39">
        <v>8168</v>
      </c>
      <c r="F9" s="39">
        <v>455</v>
      </c>
      <c r="G9" s="39">
        <v>21551</v>
      </c>
    </row>
    <row r="10" spans="1:7" ht="14.5" x14ac:dyDescent="0.35">
      <c r="A10" s="38" t="s">
        <v>887</v>
      </c>
      <c r="B10" s="39">
        <v>5951</v>
      </c>
      <c r="C10" s="39">
        <v>28522</v>
      </c>
      <c r="D10" s="39">
        <v>6782</v>
      </c>
      <c r="E10" s="39">
        <v>0</v>
      </c>
      <c r="F10" s="39">
        <v>0</v>
      </c>
      <c r="G10" s="39">
        <v>41255</v>
      </c>
    </row>
    <row r="11" spans="1:7" ht="14.5" x14ac:dyDescent="0.35">
      <c r="A11" s="38" t="s">
        <v>888</v>
      </c>
      <c r="B11" s="39">
        <v>31</v>
      </c>
      <c r="C11" s="39">
        <v>939</v>
      </c>
      <c r="D11" s="39">
        <v>6094</v>
      </c>
      <c r="E11" s="39">
        <v>1991</v>
      </c>
      <c r="F11" s="39">
        <v>154</v>
      </c>
      <c r="G11" s="39">
        <v>9209</v>
      </c>
    </row>
    <row r="12" spans="1:7" ht="14.5" x14ac:dyDescent="0.35">
      <c r="A12" s="38" t="s">
        <v>889</v>
      </c>
      <c r="B12" s="39">
        <v>522</v>
      </c>
      <c r="C12" s="39">
        <v>9623</v>
      </c>
      <c r="D12" s="39">
        <v>8826</v>
      </c>
      <c r="E12" s="39">
        <v>1343</v>
      </c>
      <c r="F12" s="39">
        <v>66</v>
      </c>
      <c r="G12" s="39">
        <v>20380</v>
      </c>
    </row>
    <row r="13" spans="1:7" ht="14.5" x14ac:dyDescent="0.35">
      <c r="A13" s="38" t="s">
        <v>890</v>
      </c>
      <c r="B13" s="39">
        <v>2616</v>
      </c>
      <c r="C13" s="39">
        <v>2896</v>
      </c>
      <c r="D13" s="39">
        <v>756</v>
      </c>
      <c r="E13" s="39">
        <v>0</v>
      </c>
      <c r="F13" s="39">
        <v>0</v>
      </c>
      <c r="G13" s="39">
        <v>6268</v>
      </c>
    </row>
    <row r="14" spans="1:7" ht="14.5" x14ac:dyDescent="0.35">
      <c r="A14" s="38" t="s">
        <v>891</v>
      </c>
      <c r="B14" s="39">
        <v>133</v>
      </c>
      <c r="C14" s="39">
        <v>3308</v>
      </c>
      <c r="D14" s="39">
        <v>12306</v>
      </c>
      <c r="E14" s="39">
        <v>473</v>
      </c>
      <c r="F14" s="39">
        <v>1</v>
      </c>
      <c r="G14" s="39">
        <v>16221</v>
      </c>
    </row>
    <row r="15" spans="1:7" ht="14.5" x14ac:dyDescent="0.35">
      <c r="A15" s="38" t="s">
        <v>892</v>
      </c>
      <c r="B15" s="39">
        <v>0</v>
      </c>
      <c r="C15" s="39">
        <v>93</v>
      </c>
      <c r="D15" s="39">
        <v>4044</v>
      </c>
      <c r="E15" s="39">
        <v>1252</v>
      </c>
      <c r="F15" s="39">
        <v>122</v>
      </c>
      <c r="G15" s="39">
        <v>5511</v>
      </c>
    </row>
    <row r="16" spans="1:7" ht="14.5" x14ac:dyDescent="0.35">
      <c r="A16" s="38" t="s">
        <v>893</v>
      </c>
      <c r="B16" s="39">
        <v>2960</v>
      </c>
      <c r="C16" s="39">
        <v>5898</v>
      </c>
      <c r="D16" s="39">
        <v>6491</v>
      </c>
      <c r="E16" s="39">
        <v>8</v>
      </c>
      <c r="F16" s="39">
        <v>0</v>
      </c>
      <c r="G16" s="39">
        <v>15357</v>
      </c>
    </row>
    <row r="17" spans="1:7" ht="14.5" x14ac:dyDescent="0.35">
      <c r="A17" s="38" t="s">
        <v>894</v>
      </c>
      <c r="B17" s="39">
        <v>307</v>
      </c>
      <c r="C17" s="39">
        <v>4979</v>
      </c>
      <c r="D17" s="39">
        <v>20299</v>
      </c>
      <c r="E17" s="39">
        <v>2949</v>
      </c>
      <c r="F17" s="39">
        <v>96</v>
      </c>
      <c r="G17" s="39">
        <v>28630</v>
      </c>
    </row>
    <row r="18" spans="1:7" ht="14.5" x14ac:dyDescent="0.35">
      <c r="A18" s="38" t="s">
        <v>895</v>
      </c>
      <c r="B18" s="39">
        <v>450</v>
      </c>
      <c r="C18" s="39">
        <v>18565</v>
      </c>
      <c r="D18" s="39">
        <v>34033</v>
      </c>
      <c r="E18" s="39">
        <v>1724</v>
      </c>
      <c r="F18" s="39">
        <v>2</v>
      </c>
      <c r="G18" s="39">
        <v>54774</v>
      </c>
    </row>
    <row r="19" spans="1:7" ht="14.5" x14ac:dyDescent="0.35">
      <c r="A19" s="38" t="s">
        <v>896</v>
      </c>
      <c r="B19" s="39">
        <v>0</v>
      </c>
      <c r="C19" s="39">
        <v>459</v>
      </c>
      <c r="D19" s="39">
        <v>35958</v>
      </c>
      <c r="E19" s="39">
        <v>31132</v>
      </c>
      <c r="F19" s="39">
        <v>1654</v>
      </c>
      <c r="G19" s="39">
        <v>69203</v>
      </c>
    </row>
    <row r="20" spans="1:7" ht="14.5" x14ac:dyDescent="0.35">
      <c r="A20" s="38" t="s">
        <v>897</v>
      </c>
      <c r="B20" s="39">
        <v>3299</v>
      </c>
      <c r="C20" s="39">
        <v>11819</v>
      </c>
      <c r="D20" s="39">
        <v>27569</v>
      </c>
      <c r="E20" s="39">
        <v>218</v>
      </c>
      <c r="F20" s="39">
        <v>0</v>
      </c>
      <c r="G20" s="39">
        <v>42905</v>
      </c>
    </row>
    <row r="21" spans="1:7" ht="14.5" x14ac:dyDescent="0.35">
      <c r="A21" s="38" t="s">
        <v>898</v>
      </c>
      <c r="B21" s="39">
        <v>563</v>
      </c>
      <c r="C21" s="39">
        <v>22972</v>
      </c>
      <c r="D21" s="39">
        <v>54976</v>
      </c>
      <c r="E21" s="39">
        <v>17089</v>
      </c>
      <c r="F21" s="39">
        <v>338</v>
      </c>
      <c r="G21" s="39">
        <v>95938</v>
      </c>
    </row>
    <row r="22" spans="1:7" ht="14.5" x14ac:dyDescent="0.35">
      <c r="A22" s="38" t="s">
        <v>899</v>
      </c>
      <c r="B22" s="39">
        <v>0</v>
      </c>
      <c r="C22" s="39">
        <v>122</v>
      </c>
      <c r="D22" s="39">
        <v>6064</v>
      </c>
      <c r="E22" s="39">
        <v>18817</v>
      </c>
      <c r="F22" s="39">
        <v>2827</v>
      </c>
      <c r="G22" s="39">
        <v>27830</v>
      </c>
    </row>
    <row r="23" spans="1:7" ht="14.5" x14ac:dyDescent="0.35">
      <c r="A23" s="38" t="s">
        <v>900</v>
      </c>
      <c r="B23" s="39">
        <v>99</v>
      </c>
      <c r="C23" s="39">
        <v>4329</v>
      </c>
      <c r="D23" s="39">
        <v>9827</v>
      </c>
      <c r="E23" s="39">
        <v>2784</v>
      </c>
      <c r="F23" s="39">
        <v>87</v>
      </c>
      <c r="G23" s="39">
        <v>17126</v>
      </c>
    </row>
    <row r="24" spans="1:7" ht="14.5" x14ac:dyDescent="0.35">
      <c r="A24" s="38" t="s">
        <v>901</v>
      </c>
      <c r="B24" s="39">
        <v>0</v>
      </c>
      <c r="C24" s="39">
        <v>6503</v>
      </c>
      <c r="D24" s="39">
        <v>37112</v>
      </c>
      <c r="E24" s="39">
        <v>9402</v>
      </c>
      <c r="F24" s="39">
        <v>542</v>
      </c>
      <c r="G24" s="39">
        <v>53559</v>
      </c>
    </row>
    <row r="25" spans="1:7" ht="14.5" x14ac:dyDescent="0.35">
      <c r="A25" s="38" t="s">
        <v>902</v>
      </c>
      <c r="B25" s="39">
        <v>0</v>
      </c>
      <c r="C25" s="39">
        <v>0</v>
      </c>
      <c r="D25" s="39">
        <v>2671</v>
      </c>
      <c r="E25" s="39">
        <v>59194</v>
      </c>
      <c r="F25" s="39">
        <v>11143</v>
      </c>
      <c r="G25" s="39">
        <v>73008</v>
      </c>
    </row>
    <row r="26" spans="1:7" ht="14.5" x14ac:dyDescent="0.35">
      <c r="A26" s="38" t="s">
        <v>903</v>
      </c>
      <c r="B26" s="39">
        <v>83</v>
      </c>
      <c r="C26" s="39">
        <v>5358</v>
      </c>
      <c r="D26" s="39">
        <v>16466</v>
      </c>
      <c r="E26" s="39">
        <v>5727</v>
      </c>
      <c r="F26" s="39">
        <v>32</v>
      </c>
      <c r="G26" s="39">
        <v>27666</v>
      </c>
    </row>
    <row r="27" spans="1:7" ht="14.5" x14ac:dyDescent="0.35">
      <c r="A27" s="38" t="s">
        <v>904</v>
      </c>
      <c r="B27" s="39">
        <v>0</v>
      </c>
      <c r="C27" s="39">
        <v>1293</v>
      </c>
      <c r="D27" s="39">
        <v>17231</v>
      </c>
      <c r="E27" s="39">
        <v>11227</v>
      </c>
      <c r="F27" s="39">
        <v>405</v>
      </c>
      <c r="G27" s="39">
        <v>30156</v>
      </c>
    </row>
    <row r="28" spans="1:7" ht="14.5" x14ac:dyDescent="0.35">
      <c r="A28" s="38" t="s">
        <v>905</v>
      </c>
      <c r="B28" s="39">
        <v>0</v>
      </c>
      <c r="C28" s="39">
        <v>0</v>
      </c>
      <c r="D28" s="39">
        <v>10791</v>
      </c>
      <c r="E28" s="39">
        <v>67518</v>
      </c>
      <c r="F28" s="39">
        <v>20736</v>
      </c>
      <c r="G28" s="39">
        <v>99045</v>
      </c>
    </row>
    <row r="29" spans="1:7" ht="14.5" x14ac:dyDescent="0.35">
      <c r="A29" s="38" t="s">
        <v>906</v>
      </c>
      <c r="B29" s="39">
        <v>56</v>
      </c>
      <c r="C29" s="39">
        <v>2488</v>
      </c>
      <c r="D29" s="39">
        <v>5948</v>
      </c>
      <c r="E29" s="39">
        <v>867</v>
      </c>
      <c r="F29" s="39">
        <v>22</v>
      </c>
      <c r="G29" s="39">
        <v>9381</v>
      </c>
    </row>
    <row r="30" spans="1:7" ht="14.5" x14ac:dyDescent="0.35">
      <c r="A30" s="38" t="s">
        <v>907</v>
      </c>
      <c r="B30" s="39">
        <v>0</v>
      </c>
      <c r="C30" s="39">
        <v>353</v>
      </c>
      <c r="D30" s="39">
        <v>12558</v>
      </c>
      <c r="E30" s="39">
        <v>4430</v>
      </c>
      <c r="F30" s="39">
        <v>159</v>
      </c>
      <c r="G30" s="39">
        <v>17500</v>
      </c>
    </row>
    <row r="31" spans="1:7" ht="14.5" x14ac:dyDescent="0.35">
      <c r="A31" s="38" t="s">
        <v>908</v>
      </c>
      <c r="B31" s="39">
        <v>0</v>
      </c>
      <c r="C31" s="39">
        <v>0</v>
      </c>
      <c r="D31" s="39">
        <v>1428</v>
      </c>
      <c r="E31" s="39">
        <v>35113</v>
      </c>
      <c r="F31" s="39">
        <v>5615</v>
      </c>
      <c r="G31" s="39">
        <v>42156</v>
      </c>
    </row>
    <row r="32" spans="1:7" ht="14.5" x14ac:dyDescent="0.35">
      <c r="A32" s="38" t="s">
        <v>909</v>
      </c>
      <c r="B32" s="39">
        <v>2690</v>
      </c>
      <c r="C32" s="39">
        <v>7943</v>
      </c>
      <c r="D32" s="39">
        <v>1194</v>
      </c>
      <c r="E32" s="39">
        <v>0</v>
      </c>
      <c r="F32" s="39">
        <v>0</v>
      </c>
      <c r="G32" s="39">
        <v>11827</v>
      </c>
    </row>
    <row r="33" spans="1:7" ht="14.5" x14ac:dyDescent="0.35">
      <c r="A33" s="38" t="s">
        <v>910</v>
      </c>
      <c r="B33" s="39">
        <v>20</v>
      </c>
      <c r="C33" s="39">
        <v>3857</v>
      </c>
      <c r="D33" s="39">
        <v>4977</v>
      </c>
      <c r="E33" s="39">
        <v>341</v>
      </c>
      <c r="F33" s="39">
        <v>0</v>
      </c>
      <c r="G33" s="39">
        <v>9195</v>
      </c>
    </row>
    <row r="34" spans="1:7" ht="14.5" x14ac:dyDescent="0.35">
      <c r="A34" s="38" t="s">
        <v>911</v>
      </c>
      <c r="B34" s="39">
        <v>0</v>
      </c>
      <c r="C34" s="39">
        <v>466</v>
      </c>
      <c r="D34" s="39">
        <v>3794</v>
      </c>
      <c r="E34" s="39">
        <v>1131</v>
      </c>
      <c r="F34" s="39">
        <v>86</v>
      </c>
      <c r="G34" s="39">
        <v>5477</v>
      </c>
    </row>
    <row r="35" spans="1:7" ht="14.5" x14ac:dyDescent="0.35">
      <c r="A35" s="38" t="s">
        <v>912</v>
      </c>
      <c r="B35" s="39">
        <v>2287</v>
      </c>
      <c r="C35" s="39">
        <v>15428</v>
      </c>
      <c r="D35" s="39">
        <v>124</v>
      </c>
      <c r="E35" s="39">
        <v>0</v>
      </c>
      <c r="F35" s="39">
        <v>0</v>
      </c>
      <c r="G35" s="39">
        <v>17839</v>
      </c>
    </row>
    <row r="36" spans="1:7" ht="14.5" x14ac:dyDescent="0.35">
      <c r="A36" s="38" t="s">
        <v>913</v>
      </c>
      <c r="B36" s="39">
        <v>24</v>
      </c>
      <c r="C36" s="39">
        <v>8440</v>
      </c>
      <c r="D36" s="39">
        <v>22148</v>
      </c>
      <c r="E36" s="39">
        <v>1494</v>
      </c>
      <c r="F36" s="39">
        <v>0</v>
      </c>
      <c r="G36" s="39">
        <v>32106</v>
      </c>
    </row>
    <row r="37" spans="1:7" ht="14.5" x14ac:dyDescent="0.35">
      <c r="A37" s="38" t="s">
        <v>914</v>
      </c>
      <c r="B37" s="39">
        <v>0</v>
      </c>
      <c r="C37" s="39">
        <v>118</v>
      </c>
      <c r="D37" s="39">
        <v>4392</v>
      </c>
      <c r="E37" s="39">
        <v>3465</v>
      </c>
      <c r="F37" s="39">
        <v>307</v>
      </c>
      <c r="G37" s="39">
        <v>8282</v>
      </c>
    </row>
    <row r="38" spans="1:7" ht="14.5" x14ac:dyDescent="0.35">
      <c r="A38" s="38" t="s">
        <v>915</v>
      </c>
      <c r="B38" s="39">
        <v>1074</v>
      </c>
      <c r="C38" s="39">
        <v>3306</v>
      </c>
      <c r="D38" s="39">
        <v>1020</v>
      </c>
      <c r="E38" s="39">
        <v>0</v>
      </c>
      <c r="F38" s="39">
        <v>0</v>
      </c>
      <c r="G38" s="39">
        <v>5400</v>
      </c>
    </row>
    <row r="39" spans="1:7" ht="14.5" x14ac:dyDescent="0.35">
      <c r="A39" s="38" t="s">
        <v>916</v>
      </c>
      <c r="B39" s="39">
        <v>276</v>
      </c>
      <c r="C39" s="39">
        <v>32561</v>
      </c>
      <c r="D39" s="39">
        <v>29894</v>
      </c>
      <c r="E39" s="39">
        <v>1483</v>
      </c>
      <c r="F39" s="39">
        <v>3</v>
      </c>
      <c r="G39" s="39">
        <v>64217</v>
      </c>
    </row>
    <row r="40" spans="1:7" ht="14.5" x14ac:dyDescent="0.35">
      <c r="A40" s="38" t="s">
        <v>917</v>
      </c>
      <c r="B40" s="39">
        <v>0</v>
      </c>
      <c r="C40" s="39">
        <v>116</v>
      </c>
      <c r="D40" s="39">
        <v>12093</v>
      </c>
      <c r="E40" s="39">
        <v>9175</v>
      </c>
      <c r="F40" s="39">
        <v>479</v>
      </c>
      <c r="G40" s="39">
        <v>21863</v>
      </c>
    </row>
    <row r="41" spans="1:7" ht="14.5" x14ac:dyDescent="0.35">
      <c r="A41" s="38" t="s">
        <v>918</v>
      </c>
      <c r="B41" s="39">
        <v>826</v>
      </c>
      <c r="C41" s="39">
        <v>23862</v>
      </c>
      <c r="D41" s="39">
        <v>37206</v>
      </c>
      <c r="E41" s="39">
        <v>5892</v>
      </c>
      <c r="F41" s="39">
        <v>26</v>
      </c>
      <c r="G41" s="39">
        <v>67812</v>
      </c>
    </row>
    <row r="42" spans="1:7" ht="14.5" x14ac:dyDescent="0.35">
      <c r="A42" s="38" t="s">
        <v>919</v>
      </c>
      <c r="B42" s="39">
        <v>0</v>
      </c>
      <c r="C42" s="39">
        <v>13123</v>
      </c>
      <c r="D42" s="39">
        <v>84067</v>
      </c>
      <c r="E42" s="39">
        <v>89773</v>
      </c>
      <c r="F42" s="39">
        <v>8898</v>
      </c>
      <c r="G42" s="39">
        <v>195861</v>
      </c>
    </row>
    <row r="43" spans="1:7" ht="14.5" x14ac:dyDescent="0.35">
      <c r="A43" s="38" t="s">
        <v>920</v>
      </c>
      <c r="B43" s="39">
        <v>2371</v>
      </c>
      <c r="C43" s="39">
        <v>40511</v>
      </c>
      <c r="D43" s="39">
        <v>29679</v>
      </c>
      <c r="E43" s="39">
        <v>3214</v>
      </c>
      <c r="F43" s="39">
        <v>0</v>
      </c>
      <c r="G43" s="39">
        <v>75775</v>
      </c>
    </row>
    <row r="44" spans="1:7" ht="14.5" x14ac:dyDescent="0.35">
      <c r="A44" s="38" t="s">
        <v>921</v>
      </c>
      <c r="B44" s="39">
        <v>97</v>
      </c>
      <c r="C44" s="39">
        <v>21934</v>
      </c>
      <c r="D44" s="39">
        <v>49631</v>
      </c>
      <c r="E44" s="39">
        <v>7465</v>
      </c>
      <c r="F44" s="39">
        <v>165</v>
      </c>
      <c r="G44" s="39">
        <v>79292</v>
      </c>
    </row>
    <row r="45" spans="1:7" ht="14.5" x14ac:dyDescent="0.35">
      <c r="A45" s="38" t="s">
        <v>922</v>
      </c>
      <c r="B45" s="39">
        <v>0</v>
      </c>
      <c r="C45" s="39">
        <v>3785</v>
      </c>
      <c r="D45" s="39">
        <v>20966</v>
      </c>
      <c r="E45" s="39">
        <v>29868</v>
      </c>
      <c r="F45" s="39">
        <v>2343</v>
      </c>
      <c r="G45" s="39">
        <v>56962</v>
      </c>
    </row>
    <row r="46" spans="1:7" ht="14.5" x14ac:dyDescent="0.35">
      <c r="A46" s="38" t="s">
        <v>923</v>
      </c>
      <c r="B46" s="39">
        <v>2865</v>
      </c>
      <c r="C46" s="39">
        <v>17055</v>
      </c>
      <c r="D46" s="39">
        <v>8757</v>
      </c>
      <c r="E46" s="39">
        <v>0</v>
      </c>
      <c r="F46" s="39">
        <v>0</v>
      </c>
      <c r="G46" s="39">
        <v>28677</v>
      </c>
    </row>
    <row r="47" spans="1:7" ht="14.5" x14ac:dyDescent="0.35">
      <c r="A47" s="38" t="s">
        <v>924</v>
      </c>
      <c r="B47" s="39">
        <v>334</v>
      </c>
      <c r="C47" s="39">
        <v>16865</v>
      </c>
      <c r="D47" s="39">
        <v>31457</v>
      </c>
      <c r="E47" s="39">
        <v>3646</v>
      </c>
      <c r="F47" s="39">
        <v>0</v>
      </c>
      <c r="G47" s="39">
        <v>52302</v>
      </c>
    </row>
    <row r="48" spans="1:7" ht="14.5" x14ac:dyDescent="0.35">
      <c r="A48" s="38" t="s">
        <v>925</v>
      </c>
      <c r="B48" s="39">
        <v>14</v>
      </c>
      <c r="C48" s="39">
        <v>14218</v>
      </c>
      <c r="D48" s="39">
        <v>38148</v>
      </c>
      <c r="E48" s="39">
        <v>7841</v>
      </c>
      <c r="F48" s="39">
        <v>99</v>
      </c>
      <c r="G48" s="39">
        <v>60320</v>
      </c>
    </row>
    <row r="49" spans="1:7" ht="14.5" x14ac:dyDescent="0.35">
      <c r="A49" s="38" t="s">
        <v>926</v>
      </c>
      <c r="B49" s="39">
        <v>0</v>
      </c>
      <c r="C49" s="39">
        <v>127</v>
      </c>
      <c r="D49" s="39">
        <v>16296</v>
      </c>
      <c r="E49" s="39">
        <v>36686</v>
      </c>
      <c r="F49" s="39">
        <v>4908</v>
      </c>
      <c r="G49" s="39">
        <v>58017</v>
      </c>
    </row>
    <row r="50" spans="1:7" ht="14.5" x14ac:dyDescent="0.35">
      <c r="A50" s="38" t="s">
        <v>927</v>
      </c>
      <c r="B50" s="39">
        <v>3887</v>
      </c>
      <c r="C50" s="39">
        <v>42842</v>
      </c>
      <c r="D50" s="39">
        <v>10798</v>
      </c>
      <c r="E50" s="39">
        <v>1349</v>
      </c>
      <c r="F50" s="39">
        <v>140</v>
      </c>
      <c r="G50" s="39">
        <v>59016</v>
      </c>
    </row>
    <row r="51" spans="1:7" ht="14.5" x14ac:dyDescent="0.35">
      <c r="A51" s="38" t="s">
        <v>928</v>
      </c>
      <c r="B51" s="39">
        <v>6304</v>
      </c>
      <c r="C51" s="39">
        <v>33119</v>
      </c>
      <c r="D51" s="39">
        <v>8908</v>
      </c>
      <c r="E51" s="39">
        <v>0</v>
      </c>
      <c r="F51" s="39">
        <v>0</v>
      </c>
      <c r="G51" s="39">
        <v>48331</v>
      </c>
    </row>
    <row r="52" spans="1:7" ht="14.5" x14ac:dyDescent="0.35">
      <c r="A52" s="38" t="s">
        <v>929</v>
      </c>
      <c r="B52" s="39">
        <v>606</v>
      </c>
      <c r="C52" s="39">
        <v>17950</v>
      </c>
      <c r="D52" s="39">
        <v>22649</v>
      </c>
      <c r="E52" s="39">
        <v>3787</v>
      </c>
      <c r="F52" s="39">
        <v>269</v>
      </c>
      <c r="G52" s="39">
        <v>45261</v>
      </c>
    </row>
    <row r="53" spans="1:7" ht="14.5" x14ac:dyDescent="0.35">
      <c r="A53" s="38" t="s">
        <v>930</v>
      </c>
      <c r="B53" s="39">
        <v>838</v>
      </c>
      <c r="C53" s="39">
        <v>6926</v>
      </c>
      <c r="D53" s="39">
        <v>3953</v>
      </c>
      <c r="E53" s="39">
        <v>0</v>
      </c>
      <c r="F53" s="39">
        <v>0</v>
      </c>
      <c r="G53" s="39">
        <v>11717</v>
      </c>
    </row>
    <row r="54" spans="1:7" ht="14.5" x14ac:dyDescent="0.35">
      <c r="A54" s="38" t="s">
        <v>931</v>
      </c>
      <c r="B54" s="39">
        <v>4</v>
      </c>
      <c r="C54" s="39">
        <v>5059</v>
      </c>
      <c r="D54" s="39">
        <v>15032</v>
      </c>
      <c r="E54" s="39">
        <v>3828</v>
      </c>
      <c r="F54" s="39">
        <v>120</v>
      </c>
      <c r="G54" s="39">
        <v>24043</v>
      </c>
    </row>
    <row r="55" spans="1:7" ht="14.5" x14ac:dyDescent="0.35">
      <c r="A55" s="38" t="s">
        <v>932</v>
      </c>
      <c r="B55" s="39">
        <v>685</v>
      </c>
      <c r="C55" s="39">
        <v>65480</v>
      </c>
      <c r="D55" s="39">
        <v>7423</v>
      </c>
      <c r="E55" s="39">
        <v>0</v>
      </c>
      <c r="F55" s="39">
        <v>0</v>
      </c>
      <c r="G55" s="39">
        <v>73588</v>
      </c>
    </row>
    <row r="56" spans="1:7" ht="14.5" x14ac:dyDescent="0.35">
      <c r="A56" s="38" t="s">
        <v>933</v>
      </c>
      <c r="B56" s="39">
        <v>15</v>
      </c>
      <c r="C56" s="39">
        <v>200048</v>
      </c>
      <c r="D56" s="39">
        <v>53657</v>
      </c>
      <c r="E56" s="39">
        <v>4116</v>
      </c>
      <c r="F56" s="39">
        <v>3</v>
      </c>
      <c r="G56" s="39">
        <v>257839</v>
      </c>
    </row>
    <row r="57" spans="1:7" ht="14.5" x14ac:dyDescent="0.35">
      <c r="A57" s="38" t="s">
        <v>934</v>
      </c>
      <c r="B57" s="39">
        <v>0</v>
      </c>
      <c r="C57" s="39">
        <v>7736</v>
      </c>
      <c r="D57" s="39">
        <v>59232</v>
      </c>
      <c r="E57" s="39">
        <v>18578</v>
      </c>
      <c r="F57" s="39">
        <v>1307</v>
      </c>
      <c r="G57" s="39">
        <v>86853</v>
      </c>
    </row>
    <row r="58" spans="1:7" ht="14.5" x14ac:dyDescent="0.35">
      <c r="A58" s="38" t="s">
        <v>935</v>
      </c>
      <c r="B58" s="39">
        <v>2106</v>
      </c>
      <c r="C58" s="39">
        <v>19019</v>
      </c>
      <c r="D58" s="39">
        <v>765</v>
      </c>
      <c r="E58" s="39">
        <v>0</v>
      </c>
      <c r="F58" s="39">
        <v>0</v>
      </c>
      <c r="G58" s="39">
        <v>21890</v>
      </c>
    </row>
    <row r="59" spans="1:7" ht="14.5" x14ac:dyDescent="0.35">
      <c r="A59" s="38" t="s">
        <v>936</v>
      </c>
      <c r="B59" s="39">
        <v>240</v>
      </c>
      <c r="C59" s="39">
        <v>41961</v>
      </c>
      <c r="D59" s="39">
        <v>93929</v>
      </c>
      <c r="E59" s="39">
        <v>11969</v>
      </c>
      <c r="F59" s="39">
        <v>106</v>
      </c>
      <c r="G59" s="39">
        <v>148205</v>
      </c>
    </row>
    <row r="60" spans="1:7" ht="14.5" x14ac:dyDescent="0.35">
      <c r="A60" s="38" t="s">
        <v>937</v>
      </c>
      <c r="B60" s="39">
        <v>0</v>
      </c>
      <c r="C60" s="39">
        <v>1306</v>
      </c>
      <c r="D60" s="39">
        <v>47367</v>
      </c>
      <c r="E60" s="39">
        <v>26694</v>
      </c>
      <c r="F60" s="39">
        <v>2858</v>
      </c>
      <c r="G60" s="39">
        <v>78225</v>
      </c>
    </row>
    <row r="61" spans="1:7" ht="14.5" x14ac:dyDescent="0.35">
      <c r="A61" s="38" t="s">
        <v>938</v>
      </c>
      <c r="B61" s="39">
        <v>768</v>
      </c>
      <c r="C61" s="39">
        <v>6948</v>
      </c>
      <c r="D61" s="39">
        <v>8611</v>
      </c>
      <c r="E61" s="39">
        <v>633</v>
      </c>
      <c r="F61" s="39">
        <v>0</v>
      </c>
      <c r="G61" s="39">
        <v>16960</v>
      </c>
    </row>
    <row r="62" spans="1:7" ht="14.5" x14ac:dyDescent="0.35">
      <c r="A62" s="38" t="s">
        <v>939</v>
      </c>
      <c r="B62" s="39">
        <v>1</v>
      </c>
      <c r="C62" s="39">
        <v>900</v>
      </c>
      <c r="D62" s="39">
        <v>13396</v>
      </c>
      <c r="E62" s="39">
        <v>4651</v>
      </c>
      <c r="F62" s="39">
        <v>153</v>
      </c>
      <c r="G62" s="39">
        <v>19101</v>
      </c>
    </row>
    <row r="63" spans="1:7" ht="14.5" x14ac:dyDescent="0.35">
      <c r="A63" s="38" t="s">
        <v>940</v>
      </c>
      <c r="B63" s="39">
        <v>134</v>
      </c>
      <c r="C63" s="39">
        <v>4828</v>
      </c>
      <c r="D63" s="39">
        <v>19826</v>
      </c>
      <c r="E63" s="39">
        <v>3189</v>
      </c>
      <c r="F63" s="39">
        <v>83</v>
      </c>
      <c r="G63" s="39">
        <v>28060</v>
      </c>
    </row>
    <row r="64" spans="1:7" ht="14.5" x14ac:dyDescent="0.35">
      <c r="A64" s="38" t="s">
        <v>941</v>
      </c>
      <c r="B64" s="39">
        <v>57</v>
      </c>
      <c r="C64" s="39">
        <v>3437</v>
      </c>
      <c r="D64" s="39">
        <v>4526</v>
      </c>
      <c r="E64" s="39">
        <v>191</v>
      </c>
      <c r="F64" s="39">
        <v>0</v>
      </c>
      <c r="G64" s="39">
        <v>8211</v>
      </c>
    </row>
    <row r="65" spans="1:7" ht="14.5" x14ac:dyDescent="0.35">
      <c r="A65" s="38" t="s">
        <v>942</v>
      </c>
      <c r="B65" s="39">
        <v>0</v>
      </c>
      <c r="C65" s="39">
        <v>499</v>
      </c>
      <c r="D65" s="39">
        <v>24805</v>
      </c>
      <c r="E65" s="39">
        <v>8567</v>
      </c>
      <c r="F65" s="39">
        <v>203</v>
      </c>
      <c r="G65" s="39">
        <v>34074</v>
      </c>
    </row>
    <row r="66" spans="1:7" ht="14.5" x14ac:dyDescent="0.35">
      <c r="A66" s="38" t="s">
        <v>943</v>
      </c>
      <c r="B66" s="39">
        <v>185</v>
      </c>
      <c r="C66" s="39">
        <v>10488</v>
      </c>
      <c r="D66" s="39">
        <v>27742</v>
      </c>
      <c r="E66" s="39">
        <v>3352</v>
      </c>
      <c r="F66" s="39">
        <v>21</v>
      </c>
      <c r="G66" s="39">
        <v>41788</v>
      </c>
    </row>
    <row r="67" spans="1:7" ht="14.5" x14ac:dyDescent="0.35">
      <c r="A67" s="38" t="s">
        <v>944</v>
      </c>
      <c r="B67" s="39">
        <v>0</v>
      </c>
      <c r="C67" s="39">
        <v>2144</v>
      </c>
      <c r="D67" s="39">
        <v>32359</v>
      </c>
      <c r="E67" s="39">
        <v>9191</v>
      </c>
      <c r="F67" s="39">
        <v>61</v>
      </c>
      <c r="G67" s="39">
        <v>43755</v>
      </c>
    </row>
    <row r="68" spans="1:7" ht="14.5" x14ac:dyDescent="0.35">
      <c r="A68" s="38" t="s">
        <v>945</v>
      </c>
      <c r="B68" s="39">
        <v>0</v>
      </c>
      <c r="C68" s="39">
        <v>0</v>
      </c>
      <c r="D68" s="39">
        <v>21858</v>
      </c>
      <c r="E68" s="39">
        <v>35103</v>
      </c>
      <c r="F68" s="39">
        <v>1149</v>
      </c>
      <c r="G68" s="39">
        <v>58110</v>
      </c>
    </row>
    <row r="69" spans="1:7" ht="14.5" x14ac:dyDescent="0.35">
      <c r="A69" s="38" t="s">
        <v>946</v>
      </c>
      <c r="B69" s="39">
        <v>383</v>
      </c>
      <c r="C69" s="39">
        <v>34600</v>
      </c>
      <c r="D69" s="39">
        <v>115664</v>
      </c>
      <c r="E69" s="39">
        <v>10365</v>
      </c>
      <c r="F69" s="39">
        <v>1</v>
      </c>
      <c r="G69" s="39">
        <v>161013</v>
      </c>
    </row>
    <row r="70" spans="1:7" ht="14.5" x14ac:dyDescent="0.35">
      <c r="A70" s="38" t="s">
        <v>947</v>
      </c>
      <c r="B70" s="39">
        <v>0</v>
      </c>
      <c r="C70" s="39">
        <v>26061</v>
      </c>
      <c r="D70" s="39">
        <v>170119</v>
      </c>
      <c r="E70" s="39">
        <v>44567</v>
      </c>
      <c r="F70" s="39">
        <v>348</v>
      </c>
      <c r="G70" s="39">
        <v>241095</v>
      </c>
    </row>
    <row r="71" spans="1:7" ht="14.5" x14ac:dyDescent="0.35">
      <c r="A71" s="38" t="s">
        <v>948</v>
      </c>
      <c r="B71" s="39">
        <v>0</v>
      </c>
      <c r="C71" s="39">
        <v>449</v>
      </c>
      <c r="D71" s="39">
        <v>41919</v>
      </c>
      <c r="E71" s="39">
        <v>99105</v>
      </c>
      <c r="F71" s="39">
        <v>6160</v>
      </c>
      <c r="G71" s="39">
        <v>147633</v>
      </c>
    </row>
    <row r="72" spans="1:7" ht="14.5" x14ac:dyDescent="0.35">
      <c r="A72" s="38" t="s">
        <v>949</v>
      </c>
      <c r="B72" s="39">
        <v>523</v>
      </c>
      <c r="C72" s="39">
        <v>8941</v>
      </c>
      <c r="D72" s="39">
        <v>19406</v>
      </c>
      <c r="E72" s="39">
        <v>2845</v>
      </c>
      <c r="F72" s="39">
        <v>0</v>
      </c>
      <c r="G72" s="39">
        <v>31715</v>
      </c>
    </row>
    <row r="73" spans="1:7" ht="14.5" x14ac:dyDescent="0.35">
      <c r="A73" s="38" t="s">
        <v>950</v>
      </c>
      <c r="B73" s="39">
        <v>44</v>
      </c>
      <c r="C73" s="39">
        <v>10359</v>
      </c>
      <c r="D73" s="39">
        <v>47662</v>
      </c>
      <c r="E73" s="39">
        <v>6389</v>
      </c>
      <c r="F73" s="39">
        <v>81</v>
      </c>
      <c r="G73" s="39">
        <v>64535</v>
      </c>
    </row>
    <row r="74" spans="1:7" ht="14.5" x14ac:dyDescent="0.35">
      <c r="A74" s="38" t="s">
        <v>951</v>
      </c>
      <c r="B74" s="39">
        <v>0</v>
      </c>
      <c r="C74" s="39">
        <v>7822</v>
      </c>
      <c r="D74" s="39">
        <v>51762</v>
      </c>
      <c r="E74" s="39">
        <v>21859</v>
      </c>
      <c r="F74" s="39">
        <v>694</v>
      </c>
      <c r="G74" s="39">
        <v>82137</v>
      </c>
    </row>
    <row r="75" spans="1:7" ht="14.5" x14ac:dyDescent="0.35">
      <c r="A75" s="38" t="s">
        <v>952</v>
      </c>
      <c r="B75" s="39">
        <v>0</v>
      </c>
      <c r="C75" s="39">
        <v>500</v>
      </c>
      <c r="D75" s="39">
        <v>28449</v>
      </c>
      <c r="E75" s="39">
        <v>58670</v>
      </c>
      <c r="F75" s="39">
        <v>4882</v>
      </c>
      <c r="G75" s="39">
        <v>92501</v>
      </c>
    </row>
    <row r="76" spans="1:7" ht="14.5" x14ac:dyDescent="0.35">
      <c r="A76" s="38" t="s">
        <v>953</v>
      </c>
      <c r="B76" s="39">
        <v>199</v>
      </c>
      <c r="C76" s="39">
        <v>2101</v>
      </c>
      <c r="D76" s="39">
        <v>5625</v>
      </c>
      <c r="E76" s="39">
        <v>742</v>
      </c>
      <c r="F76" s="39">
        <v>1</v>
      </c>
      <c r="G76" s="39">
        <v>8668</v>
      </c>
    </row>
    <row r="77" spans="1:7" ht="14.5" x14ac:dyDescent="0.35">
      <c r="A77" s="38" t="s">
        <v>954</v>
      </c>
      <c r="B77" s="39">
        <v>2</v>
      </c>
      <c r="C77" s="39">
        <v>2382</v>
      </c>
      <c r="D77" s="39">
        <v>4013</v>
      </c>
      <c r="E77" s="39">
        <v>1950</v>
      </c>
      <c r="F77" s="39">
        <v>245</v>
      </c>
      <c r="G77" s="39">
        <v>8592</v>
      </c>
    </row>
    <row r="78" spans="1:7" ht="14.5" x14ac:dyDescent="0.35">
      <c r="A78" s="38" t="s">
        <v>955</v>
      </c>
      <c r="B78" s="39">
        <v>145</v>
      </c>
      <c r="C78" s="39">
        <v>10622</v>
      </c>
      <c r="D78" s="39">
        <v>14551</v>
      </c>
      <c r="E78" s="39">
        <v>2451</v>
      </c>
      <c r="F78" s="39">
        <v>0</v>
      </c>
      <c r="G78" s="39">
        <v>27769</v>
      </c>
    </row>
    <row r="79" spans="1:7" ht="14.5" x14ac:dyDescent="0.35">
      <c r="A79" s="38" t="s">
        <v>956</v>
      </c>
      <c r="B79" s="39">
        <v>0</v>
      </c>
      <c r="C79" s="39">
        <v>1464</v>
      </c>
      <c r="D79" s="39">
        <v>20137</v>
      </c>
      <c r="E79" s="39">
        <v>4498</v>
      </c>
      <c r="F79" s="39">
        <v>34</v>
      </c>
      <c r="G79" s="39">
        <v>26133</v>
      </c>
    </row>
    <row r="80" spans="1:7" ht="14.5" x14ac:dyDescent="0.35">
      <c r="A80" s="38" t="s">
        <v>957</v>
      </c>
      <c r="B80" s="39">
        <v>0</v>
      </c>
      <c r="C80" s="39">
        <v>3</v>
      </c>
      <c r="D80" s="39">
        <v>6530</v>
      </c>
      <c r="E80" s="39">
        <v>3445</v>
      </c>
      <c r="F80" s="39">
        <v>438</v>
      </c>
      <c r="G80" s="39">
        <v>10416</v>
      </c>
    </row>
    <row r="81" spans="1:7" ht="14.5" x14ac:dyDescent="0.35">
      <c r="A81" s="38" t="s">
        <v>958</v>
      </c>
      <c r="B81" s="39">
        <v>295</v>
      </c>
      <c r="C81" s="39">
        <v>11088</v>
      </c>
      <c r="D81" s="39">
        <v>30515</v>
      </c>
      <c r="E81" s="39">
        <v>11880</v>
      </c>
      <c r="F81" s="39">
        <v>1</v>
      </c>
      <c r="G81" s="39">
        <v>53779</v>
      </c>
    </row>
    <row r="82" spans="1:7" ht="14.5" x14ac:dyDescent="0.35">
      <c r="A82" s="38" t="s">
        <v>959</v>
      </c>
      <c r="B82" s="39">
        <v>71</v>
      </c>
      <c r="C82" s="39">
        <v>8710</v>
      </c>
      <c r="D82" s="39">
        <v>34524</v>
      </c>
      <c r="E82" s="39">
        <v>22144</v>
      </c>
      <c r="F82" s="39">
        <v>360</v>
      </c>
      <c r="G82" s="39">
        <v>65809</v>
      </c>
    </row>
    <row r="83" spans="1:7" ht="14.5" x14ac:dyDescent="0.35">
      <c r="A83" s="38" t="s">
        <v>960</v>
      </c>
      <c r="B83" s="39">
        <v>0</v>
      </c>
      <c r="C83" s="39">
        <v>12700</v>
      </c>
      <c r="D83" s="39">
        <v>88020</v>
      </c>
      <c r="E83" s="39">
        <v>44376</v>
      </c>
      <c r="F83" s="39">
        <v>1427</v>
      </c>
      <c r="G83" s="39">
        <v>146523</v>
      </c>
    </row>
    <row r="84" spans="1:7" ht="14.5" x14ac:dyDescent="0.35">
      <c r="A84" s="38" t="s">
        <v>961</v>
      </c>
      <c r="B84" s="39">
        <v>0</v>
      </c>
      <c r="C84" s="39">
        <v>0</v>
      </c>
      <c r="D84" s="39">
        <v>10819</v>
      </c>
      <c r="E84" s="39">
        <v>172324</v>
      </c>
      <c r="F84" s="39">
        <v>32240</v>
      </c>
      <c r="G84" s="39">
        <v>215383</v>
      </c>
    </row>
    <row r="85" spans="1:7" ht="14.5" x14ac:dyDescent="0.35">
      <c r="A85" s="38" t="s">
        <v>962</v>
      </c>
      <c r="B85" s="39">
        <v>117</v>
      </c>
      <c r="C85" s="39">
        <v>10324</v>
      </c>
      <c r="D85" s="39">
        <v>40620</v>
      </c>
      <c r="E85" s="39">
        <v>7176</v>
      </c>
      <c r="F85" s="39">
        <v>200</v>
      </c>
      <c r="G85" s="39">
        <v>58437</v>
      </c>
    </row>
    <row r="86" spans="1:7" ht="14.5" x14ac:dyDescent="0.35">
      <c r="A86" s="38" t="s">
        <v>963</v>
      </c>
      <c r="B86" s="39">
        <v>0</v>
      </c>
      <c r="C86" s="39">
        <v>430</v>
      </c>
      <c r="D86" s="39">
        <v>27560</v>
      </c>
      <c r="E86" s="39">
        <v>42366</v>
      </c>
      <c r="F86" s="39">
        <v>2301</v>
      </c>
      <c r="G86" s="39">
        <v>72657</v>
      </c>
    </row>
    <row r="87" spans="1:7" ht="14.5" x14ac:dyDescent="0.35">
      <c r="A87" s="38" t="s">
        <v>964</v>
      </c>
      <c r="B87" s="39">
        <v>0</v>
      </c>
      <c r="C87" s="39">
        <v>0</v>
      </c>
      <c r="D87" s="39">
        <v>5190</v>
      </c>
      <c r="E87" s="39">
        <v>90483</v>
      </c>
      <c r="F87" s="39">
        <v>16086</v>
      </c>
      <c r="G87" s="39">
        <v>111759</v>
      </c>
    </row>
    <row r="88" spans="1:7" ht="14.5" x14ac:dyDescent="0.35">
      <c r="A88" s="38" t="s">
        <v>965</v>
      </c>
      <c r="B88" s="39">
        <v>121</v>
      </c>
      <c r="C88" s="39">
        <v>5077</v>
      </c>
      <c r="D88" s="39">
        <v>13932</v>
      </c>
      <c r="E88" s="39">
        <v>8674</v>
      </c>
      <c r="F88" s="39">
        <v>248</v>
      </c>
      <c r="G88" s="39">
        <v>28052</v>
      </c>
    </row>
    <row r="89" spans="1:7" ht="14.5" x14ac:dyDescent="0.35">
      <c r="A89" s="38" t="s">
        <v>966</v>
      </c>
      <c r="B89" s="39">
        <v>0</v>
      </c>
      <c r="C89" s="39">
        <v>4807</v>
      </c>
      <c r="D89" s="39">
        <v>21189</v>
      </c>
      <c r="E89" s="39">
        <v>16485</v>
      </c>
      <c r="F89" s="39">
        <v>1075</v>
      </c>
      <c r="G89" s="39">
        <v>43556</v>
      </c>
    </row>
    <row r="90" spans="1:7" ht="14.5" x14ac:dyDescent="0.35">
      <c r="A90" s="38" t="s">
        <v>967</v>
      </c>
      <c r="B90" s="39">
        <v>0</v>
      </c>
      <c r="C90" s="39">
        <v>0</v>
      </c>
      <c r="D90" s="39">
        <v>13633</v>
      </c>
      <c r="E90" s="39">
        <v>60763</v>
      </c>
      <c r="F90" s="39">
        <v>17139</v>
      </c>
      <c r="G90" s="39">
        <v>91535</v>
      </c>
    </row>
    <row r="91" spans="1:7" ht="14.5" x14ac:dyDescent="0.35">
      <c r="A91" s="38" t="s">
        <v>968</v>
      </c>
      <c r="B91" s="39">
        <v>555</v>
      </c>
      <c r="C91" s="39">
        <v>5183</v>
      </c>
      <c r="D91" s="39">
        <v>2214</v>
      </c>
      <c r="E91" s="39">
        <v>49</v>
      </c>
      <c r="F91" s="39">
        <v>0</v>
      </c>
      <c r="G91" s="39">
        <v>8001</v>
      </c>
    </row>
    <row r="92" spans="1:7" ht="14.5" x14ac:dyDescent="0.35">
      <c r="A92" s="38" t="s">
        <v>969</v>
      </c>
      <c r="B92" s="39">
        <v>5</v>
      </c>
      <c r="C92" s="39">
        <v>3881</v>
      </c>
      <c r="D92" s="39">
        <v>3760</v>
      </c>
      <c r="E92" s="39">
        <v>550</v>
      </c>
      <c r="F92" s="39">
        <v>9</v>
      </c>
      <c r="G92" s="39">
        <v>8205</v>
      </c>
    </row>
    <row r="93" spans="1:7" ht="14.5" x14ac:dyDescent="0.35">
      <c r="A93" s="38" t="s">
        <v>970</v>
      </c>
      <c r="B93" s="39">
        <v>0</v>
      </c>
      <c r="C93" s="39">
        <v>14</v>
      </c>
      <c r="D93" s="39">
        <v>1990</v>
      </c>
      <c r="E93" s="39">
        <v>3023</v>
      </c>
      <c r="F93" s="39">
        <v>544</v>
      </c>
      <c r="G93" s="39">
        <v>5571</v>
      </c>
    </row>
    <row r="94" spans="1:7" ht="14.5" x14ac:dyDescent="0.35">
      <c r="A94" s="38" t="s">
        <v>971</v>
      </c>
      <c r="B94" s="39">
        <v>757</v>
      </c>
      <c r="C94" s="39">
        <v>8318</v>
      </c>
      <c r="D94" s="39">
        <v>10990</v>
      </c>
      <c r="E94" s="39">
        <v>2543</v>
      </c>
      <c r="F94" s="39">
        <v>1</v>
      </c>
      <c r="G94" s="39">
        <v>22609</v>
      </c>
    </row>
    <row r="95" spans="1:7" ht="14.5" x14ac:dyDescent="0.35">
      <c r="A95" s="38" t="s">
        <v>972</v>
      </c>
      <c r="B95" s="39">
        <v>15</v>
      </c>
      <c r="C95" s="39">
        <v>7527</v>
      </c>
      <c r="D95" s="39">
        <v>15355</v>
      </c>
      <c r="E95" s="39">
        <v>3672</v>
      </c>
      <c r="F95" s="39">
        <v>93</v>
      </c>
      <c r="G95" s="39">
        <v>26662</v>
      </c>
    </row>
    <row r="96" spans="1:7" ht="14.5" x14ac:dyDescent="0.35">
      <c r="A96" s="38" t="s">
        <v>973</v>
      </c>
      <c r="B96" s="39">
        <v>0</v>
      </c>
      <c r="C96" s="39">
        <v>1902</v>
      </c>
      <c r="D96" s="39">
        <v>12168</v>
      </c>
      <c r="E96" s="39">
        <v>6260</v>
      </c>
      <c r="F96" s="39">
        <v>875</v>
      </c>
      <c r="G96" s="39">
        <v>21205</v>
      </c>
    </row>
    <row r="97" spans="1:7" ht="14.5" x14ac:dyDescent="0.35">
      <c r="A97" s="38" t="s">
        <v>974</v>
      </c>
      <c r="B97" s="39">
        <v>436</v>
      </c>
      <c r="C97" s="39">
        <v>5328</v>
      </c>
      <c r="D97" s="39">
        <v>6264</v>
      </c>
      <c r="E97" s="39">
        <v>1455</v>
      </c>
      <c r="F97" s="39">
        <v>2</v>
      </c>
      <c r="G97" s="39">
        <v>13485</v>
      </c>
    </row>
    <row r="98" spans="1:7" ht="14.5" x14ac:dyDescent="0.35">
      <c r="A98" s="38" t="s">
        <v>975</v>
      </c>
      <c r="B98" s="39">
        <v>0</v>
      </c>
      <c r="C98" s="39">
        <v>2808</v>
      </c>
      <c r="D98" s="39">
        <v>8369</v>
      </c>
      <c r="E98" s="39">
        <v>1695</v>
      </c>
      <c r="F98" s="39">
        <v>49</v>
      </c>
      <c r="G98" s="39">
        <v>12921</v>
      </c>
    </row>
    <row r="99" spans="1:7" ht="14.5" x14ac:dyDescent="0.35">
      <c r="A99" s="38" t="s">
        <v>976</v>
      </c>
      <c r="B99" s="39">
        <v>0</v>
      </c>
      <c r="C99" s="39">
        <v>49</v>
      </c>
      <c r="D99" s="39">
        <v>4773</v>
      </c>
      <c r="E99" s="39">
        <v>1860</v>
      </c>
      <c r="F99" s="39">
        <v>316</v>
      </c>
      <c r="G99" s="39">
        <v>6998</v>
      </c>
    </row>
    <row r="100" spans="1:7" ht="14.5" x14ac:dyDescent="0.35">
      <c r="A100" s="38" t="s">
        <v>977</v>
      </c>
      <c r="B100" s="39">
        <v>41</v>
      </c>
      <c r="C100" s="39">
        <v>11594</v>
      </c>
      <c r="D100" s="39">
        <v>11534</v>
      </c>
      <c r="E100" s="39">
        <v>1472</v>
      </c>
      <c r="F100" s="39">
        <v>1</v>
      </c>
      <c r="G100" s="39">
        <v>24642</v>
      </c>
    </row>
    <row r="101" spans="1:7" ht="14.5" x14ac:dyDescent="0.35">
      <c r="A101" s="38" t="s">
        <v>978</v>
      </c>
      <c r="B101" s="39">
        <v>0</v>
      </c>
      <c r="C101" s="39">
        <v>96</v>
      </c>
      <c r="D101" s="39">
        <v>27136</v>
      </c>
      <c r="E101" s="39">
        <v>8597</v>
      </c>
      <c r="F101" s="39">
        <v>372</v>
      </c>
      <c r="G101" s="39">
        <v>36201</v>
      </c>
    </row>
    <row r="102" spans="1:7" ht="14.5" x14ac:dyDescent="0.35">
      <c r="A102" s="38" t="s">
        <v>979</v>
      </c>
      <c r="B102" s="39">
        <v>288</v>
      </c>
      <c r="C102" s="39">
        <v>8666</v>
      </c>
      <c r="D102" s="39">
        <v>20543</v>
      </c>
      <c r="E102" s="39">
        <v>3386</v>
      </c>
      <c r="F102" s="39">
        <v>0</v>
      </c>
      <c r="G102" s="39">
        <v>32883</v>
      </c>
    </row>
    <row r="103" spans="1:7" ht="14.5" x14ac:dyDescent="0.35">
      <c r="A103" s="38" t="s">
        <v>980</v>
      </c>
      <c r="B103" s="39">
        <v>0</v>
      </c>
      <c r="C103" s="39">
        <v>2869</v>
      </c>
      <c r="D103" s="39">
        <v>28493</v>
      </c>
      <c r="E103" s="39">
        <v>7041</v>
      </c>
      <c r="F103" s="39">
        <v>153</v>
      </c>
      <c r="G103" s="39">
        <v>38556</v>
      </c>
    </row>
    <row r="104" spans="1:7" ht="14.5" x14ac:dyDescent="0.35">
      <c r="A104" s="38" t="s">
        <v>981</v>
      </c>
      <c r="B104" s="39">
        <v>0</v>
      </c>
      <c r="C104" s="39">
        <v>3</v>
      </c>
      <c r="D104" s="39">
        <v>5711</v>
      </c>
      <c r="E104" s="39">
        <v>32239</v>
      </c>
      <c r="F104" s="39">
        <v>2822</v>
      </c>
      <c r="G104" s="39">
        <v>40775</v>
      </c>
    </row>
    <row r="105" spans="1:7" ht="14.5" x14ac:dyDescent="0.35">
      <c r="A105" s="38" t="s">
        <v>982</v>
      </c>
      <c r="B105" s="39">
        <v>92</v>
      </c>
      <c r="C105" s="39">
        <v>8229</v>
      </c>
      <c r="D105" s="39">
        <v>30844</v>
      </c>
      <c r="E105" s="39">
        <v>3858</v>
      </c>
      <c r="F105" s="39">
        <v>58</v>
      </c>
      <c r="G105" s="39">
        <v>43081</v>
      </c>
    </row>
    <row r="106" spans="1:7" ht="14.5" x14ac:dyDescent="0.35">
      <c r="A106" s="38" t="s">
        <v>983</v>
      </c>
      <c r="B106" s="39">
        <v>0</v>
      </c>
      <c r="C106" s="39">
        <v>1401</v>
      </c>
      <c r="D106" s="39">
        <v>21649</v>
      </c>
      <c r="E106" s="39">
        <v>22199</v>
      </c>
      <c r="F106" s="39">
        <v>1645</v>
      </c>
      <c r="G106" s="39">
        <v>46894</v>
      </c>
    </row>
    <row r="107" spans="1:7" ht="14.5" x14ac:dyDescent="0.35">
      <c r="A107" s="38" t="s">
        <v>984</v>
      </c>
      <c r="B107" s="39">
        <v>15</v>
      </c>
      <c r="C107" s="39">
        <v>12352</v>
      </c>
      <c r="D107" s="39">
        <v>4840</v>
      </c>
      <c r="E107" s="39">
        <v>1221</v>
      </c>
      <c r="F107" s="39">
        <v>2</v>
      </c>
      <c r="G107" s="39">
        <v>18430</v>
      </c>
    </row>
    <row r="108" spans="1:7" ht="14.5" x14ac:dyDescent="0.35">
      <c r="A108" s="38" t="s">
        <v>985</v>
      </c>
      <c r="B108" s="39">
        <v>0</v>
      </c>
      <c r="C108" s="39">
        <v>5495</v>
      </c>
      <c r="D108" s="39">
        <v>9074</v>
      </c>
      <c r="E108" s="39">
        <v>6816</v>
      </c>
      <c r="F108" s="39">
        <v>859</v>
      </c>
      <c r="G108" s="39">
        <v>22244</v>
      </c>
    </row>
    <row r="109" spans="1:7" ht="14.5" x14ac:dyDescent="0.35">
      <c r="A109" s="38" t="s">
        <v>986</v>
      </c>
      <c r="B109" s="39">
        <v>104</v>
      </c>
      <c r="C109" s="39">
        <v>8087</v>
      </c>
      <c r="D109" s="39">
        <v>18474</v>
      </c>
      <c r="E109" s="39">
        <v>1278</v>
      </c>
      <c r="F109" s="39">
        <v>3</v>
      </c>
      <c r="G109" s="39">
        <v>27946</v>
      </c>
    </row>
    <row r="110" spans="1:7" ht="14.5" x14ac:dyDescent="0.35">
      <c r="A110" s="38" t="s">
        <v>987</v>
      </c>
      <c r="B110" s="39">
        <v>0</v>
      </c>
      <c r="C110" s="39">
        <v>143</v>
      </c>
      <c r="D110" s="39">
        <v>31268</v>
      </c>
      <c r="E110" s="39">
        <v>32044</v>
      </c>
      <c r="F110" s="39">
        <v>2916</v>
      </c>
      <c r="G110" s="39">
        <v>66371</v>
      </c>
    </row>
    <row r="111" spans="1:7" ht="14.5" x14ac:dyDescent="0.35">
      <c r="A111" s="38" t="s">
        <v>988</v>
      </c>
      <c r="B111" s="39">
        <v>111</v>
      </c>
      <c r="C111" s="39">
        <v>3177</v>
      </c>
      <c r="D111" s="39">
        <v>4159</v>
      </c>
      <c r="E111" s="39">
        <v>90</v>
      </c>
      <c r="F111" s="39">
        <v>0</v>
      </c>
      <c r="G111" s="39">
        <v>7537</v>
      </c>
    </row>
    <row r="112" spans="1:7" ht="14.5" x14ac:dyDescent="0.35">
      <c r="A112" s="38" t="s">
        <v>989</v>
      </c>
      <c r="B112" s="39">
        <v>0</v>
      </c>
      <c r="C112" s="39">
        <v>4</v>
      </c>
      <c r="D112" s="39">
        <v>6659</v>
      </c>
      <c r="E112" s="39">
        <v>7535</v>
      </c>
      <c r="F112" s="39">
        <v>1231</v>
      </c>
      <c r="G112" s="39">
        <v>15429</v>
      </c>
    </row>
    <row r="113" spans="1:7" ht="14.5" x14ac:dyDescent="0.35">
      <c r="A113" s="38" t="s">
        <v>990</v>
      </c>
      <c r="B113" s="39">
        <v>356</v>
      </c>
      <c r="C113" s="39">
        <v>8313</v>
      </c>
      <c r="D113" s="39">
        <v>17087</v>
      </c>
      <c r="E113" s="39">
        <v>2696</v>
      </c>
      <c r="F113" s="39">
        <v>1</v>
      </c>
      <c r="G113" s="39">
        <v>28453</v>
      </c>
    </row>
    <row r="114" spans="1:7" ht="14.5" x14ac:dyDescent="0.35">
      <c r="A114" s="38" t="s">
        <v>991</v>
      </c>
      <c r="B114" s="39">
        <v>0</v>
      </c>
      <c r="C114" s="39">
        <v>120</v>
      </c>
      <c r="D114" s="39">
        <v>28878</v>
      </c>
      <c r="E114" s="39">
        <v>20499</v>
      </c>
      <c r="F114" s="39">
        <v>2975</v>
      </c>
      <c r="G114" s="39">
        <v>52472</v>
      </c>
    </row>
    <row r="115" spans="1:7" ht="14.5" x14ac:dyDescent="0.35">
      <c r="A115" s="38" t="s">
        <v>992</v>
      </c>
      <c r="B115" s="39">
        <v>55</v>
      </c>
      <c r="C115" s="39">
        <v>3237</v>
      </c>
      <c r="D115" s="39">
        <v>3155</v>
      </c>
      <c r="E115" s="39">
        <v>1040</v>
      </c>
      <c r="F115" s="39">
        <v>105</v>
      </c>
      <c r="G115" s="39">
        <v>7592</v>
      </c>
    </row>
    <row r="116" spans="1:7" ht="14.5" x14ac:dyDescent="0.35">
      <c r="A116" s="38" t="s">
        <v>993</v>
      </c>
      <c r="B116" s="39">
        <v>54</v>
      </c>
      <c r="C116" s="39">
        <v>5251</v>
      </c>
      <c r="D116" s="39">
        <v>2638</v>
      </c>
      <c r="E116" s="39">
        <v>172</v>
      </c>
      <c r="F116" s="39">
        <v>0</v>
      </c>
      <c r="G116" s="39">
        <v>8115</v>
      </c>
    </row>
    <row r="117" spans="1:7" ht="14.5" x14ac:dyDescent="0.35">
      <c r="A117" s="38" t="s">
        <v>994</v>
      </c>
      <c r="B117" s="39">
        <v>0</v>
      </c>
      <c r="C117" s="39">
        <v>734</v>
      </c>
      <c r="D117" s="39">
        <v>3226</v>
      </c>
      <c r="E117" s="39">
        <v>4244</v>
      </c>
      <c r="F117" s="39">
        <v>535</v>
      </c>
      <c r="G117" s="39">
        <v>8739</v>
      </c>
    </row>
    <row r="118" spans="1:7" ht="14.5" x14ac:dyDescent="0.35">
      <c r="A118" s="38" t="s">
        <v>995</v>
      </c>
      <c r="B118" s="39">
        <v>77</v>
      </c>
      <c r="C118" s="39">
        <v>4723</v>
      </c>
      <c r="D118" s="39">
        <v>18624</v>
      </c>
      <c r="E118" s="39">
        <v>5700</v>
      </c>
      <c r="F118" s="39">
        <v>773</v>
      </c>
      <c r="G118" s="39">
        <v>29897</v>
      </c>
    </row>
    <row r="119" spans="1:7" ht="14.5" x14ac:dyDescent="0.35">
      <c r="A119" s="38" t="s">
        <v>996</v>
      </c>
      <c r="B119" s="39">
        <v>17</v>
      </c>
      <c r="C119" s="39">
        <v>555</v>
      </c>
      <c r="D119" s="39">
        <v>1445</v>
      </c>
      <c r="E119" s="39">
        <v>153</v>
      </c>
      <c r="F119" s="39">
        <v>4</v>
      </c>
      <c r="G119" s="39">
        <v>2174</v>
      </c>
    </row>
    <row r="120" spans="1:7" ht="14.5" x14ac:dyDescent="0.35">
      <c r="A120" s="38" t="s">
        <v>997</v>
      </c>
      <c r="B120" s="39">
        <v>0</v>
      </c>
      <c r="C120" s="39">
        <v>159</v>
      </c>
      <c r="D120" s="39">
        <v>1330</v>
      </c>
      <c r="E120" s="39">
        <v>1127</v>
      </c>
      <c r="F120" s="39">
        <v>158</v>
      </c>
      <c r="G120" s="39">
        <v>2774</v>
      </c>
    </row>
    <row r="121" spans="1:7" ht="14.5" x14ac:dyDescent="0.35">
      <c r="A121" s="38" t="s">
        <v>998</v>
      </c>
      <c r="B121" s="39">
        <v>300</v>
      </c>
      <c r="C121" s="39">
        <v>2916</v>
      </c>
      <c r="D121" s="39">
        <v>1052</v>
      </c>
      <c r="E121" s="39">
        <v>47</v>
      </c>
      <c r="F121" s="39">
        <v>0</v>
      </c>
      <c r="G121" s="39">
        <v>4315</v>
      </c>
    </row>
    <row r="122" spans="1:7" ht="14.5" x14ac:dyDescent="0.35">
      <c r="A122" s="38" t="s">
        <v>999</v>
      </c>
      <c r="B122" s="39">
        <v>32</v>
      </c>
      <c r="C122" s="39">
        <v>3013</v>
      </c>
      <c r="D122" s="39">
        <v>14048</v>
      </c>
      <c r="E122" s="39">
        <v>3287</v>
      </c>
      <c r="F122" s="39">
        <v>11</v>
      </c>
      <c r="G122" s="39">
        <v>20391</v>
      </c>
    </row>
    <row r="123" spans="1:7" ht="14.5" x14ac:dyDescent="0.35">
      <c r="A123" s="38" t="s">
        <v>1000</v>
      </c>
      <c r="B123" s="39">
        <v>0</v>
      </c>
      <c r="C123" s="39">
        <v>5</v>
      </c>
      <c r="D123" s="39">
        <v>162</v>
      </c>
      <c r="E123" s="39">
        <v>2208</v>
      </c>
      <c r="F123" s="39">
        <v>853</v>
      </c>
      <c r="G123" s="39">
        <v>3228</v>
      </c>
    </row>
    <row r="124" spans="1:7" ht="14.5" x14ac:dyDescent="0.35">
      <c r="A124" s="38" t="s">
        <v>1001</v>
      </c>
      <c r="B124" s="39">
        <v>2618</v>
      </c>
      <c r="C124" s="39">
        <v>25370</v>
      </c>
      <c r="D124" s="39">
        <v>11665</v>
      </c>
      <c r="E124" s="39">
        <v>1692</v>
      </c>
      <c r="F124" s="39">
        <v>68</v>
      </c>
      <c r="G124" s="39">
        <v>41413</v>
      </c>
    </row>
    <row r="125" spans="1:7" ht="14.5" x14ac:dyDescent="0.35">
      <c r="A125" s="38" t="s">
        <v>1002</v>
      </c>
      <c r="B125" s="39">
        <v>408</v>
      </c>
      <c r="C125" s="39">
        <v>10293</v>
      </c>
      <c r="D125" s="39">
        <v>14065</v>
      </c>
      <c r="E125" s="39">
        <v>1531</v>
      </c>
      <c r="F125" s="39">
        <v>0</v>
      </c>
      <c r="G125" s="39">
        <v>26297</v>
      </c>
    </row>
    <row r="126" spans="1:7" ht="14.5" x14ac:dyDescent="0.35">
      <c r="A126" s="38" t="s">
        <v>1003</v>
      </c>
      <c r="B126" s="39">
        <v>0</v>
      </c>
      <c r="C126" s="39">
        <v>17452</v>
      </c>
      <c r="D126" s="39">
        <v>34696</v>
      </c>
      <c r="E126" s="39">
        <v>4578</v>
      </c>
      <c r="F126" s="39">
        <v>160</v>
      </c>
      <c r="G126" s="39">
        <v>56886</v>
      </c>
    </row>
    <row r="127" spans="1:7" ht="14.5" x14ac:dyDescent="0.35">
      <c r="A127" s="38" t="s">
        <v>1004</v>
      </c>
      <c r="B127" s="39">
        <v>0</v>
      </c>
      <c r="C127" s="39">
        <v>0</v>
      </c>
      <c r="D127" s="39">
        <v>45067</v>
      </c>
      <c r="E127" s="39">
        <v>61803</v>
      </c>
      <c r="F127" s="39">
        <v>4983</v>
      </c>
      <c r="G127" s="39">
        <v>111853</v>
      </c>
    </row>
    <row r="128" spans="1:7" ht="14.5" x14ac:dyDescent="0.35">
      <c r="A128" s="38" t="s">
        <v>1005</v>
      </c>
      <c r="B128" s="39">
        <v>203</v>
      </c>
      <c r="C128" s="39">
        <v>12331</v>
      </c>
      <c r="D128" s="39">
        <v>5352</v>
      </c>
      <c r="E128" s="39">
        <v>85</v>
      </c>
      <c r="F128" s="39">
        <v>0</v>
      </c>
      <c r="G128" s="39">
        <v>17971</v>
      </c>
    </row>
    <row r="129" spans="1:7" ht="14.5" x14ac:dyDescent="0.35">
      <c r="A129" s="38" t="s">
        <v>1006</v>
      </c>
      <c r="B129" s="39">
        <v>35</v>
      </c>
      <c r="C129" s="39">
        <v>12455</v>
      </c>
      <c r="D129" s="39">
        <v>19617</v>
      </c>
      <c r="E129" s="39">
        <v>2271</v>
      </c>
      <c r="F129" s="39">
        <v>51</v>
      </c>
      <c r="G129" s="39">
        <v>34429</v>
      </c>
    </row>
    <row r="130" spans="1:7" ht="14.5" x14ac:dyDescent="0.35">
      <c r="A130" s="38" t="s">
        <v>1007</v>
      </c>
      <c r="B130" s="39">
        <v>0</v>
      </c>
      <c r="C130" s="39">
        <v>156</v>
      </c>
      <c r="D130" s="39">
        <v>14274</v>
      </c>
      <c r="E130" s="39">
        <v>14378</v>
      </c>
      <c r="F130" s="39">
        <v>476</v>
      </c>
      <c r="G130" s="39">
        <v>29284</v>
      </c>
    </row>
    <row r="131" spans="1:7" ht="14.5" x14ac:dyDescent="0.35">
      <c r="A131" s="38" t="s">
        <v>1008</v>
      </c>
      <c r="B131" s="39">
        <v>88</v>
      </c>
      <c r="C131" s="39">
        <v>2089</v>
      </c>
      <c r="D131" s="39">
        <v>3498</v>
      </c>
      <c r="E131" s="39">
        <v>1231</v>
      </c>
      <c r="F131" s="39">
        <v>20</v>
      </c>
      <c r="G131" s="39">
        <v>6926</v>
      </c>
    </row>
    <row r="132" spans="1:7" ht="14.5" x14ac:dyDescent="0.35">
      <c r="A132" s="38" t="s">
        <v>1009</v>
      </c>
      <c r="B132" s="39">
        <v>0</v>
      </c>
      <c r="C132" s="39">
        <v>886</v>
      </c>
      <c r="D132" s="39">
        <v>5422</v>
      </c>
      <c r="E132" s="39">
        <v>7949</v>
      </c>
      <c r="F132" s="39">
        <v>3895</v>
      </c>
      <c r="G132" s="39">
        <v>18152</v>
      </c>
    </row>
    <row r="133" spans="1:7" ht="14.5" x14ac:dyDescent="0.35">
      <c r="A133" s="38" t="s">
        <v>1010</v>
      </c>
      <c r="B133" s="39">
        <v>4569</v>
      </c>
      <c r="C133" s="39">
        <v>16707</v>
      </c>
      <c r="D133" s="39">
        <v>11641</v>
      </c>
      <c r="E133" s="39">
        <v>2789</v>
      </c>
      <c r="F133" s="39">
        <v>0</v>
      </c>
      <c r="G133" s="39">
        <v>35706</v>
      </c>
    </row>
    <row r="134" spans="1:7" ht="14.5" x14ac:dyDescent="0.35">
      <c r="A134" s="38" t="s">
        <v>1011</v>
      </c>
      <c r="B134" s="39">
        <v>0</v>
      </c>
      <c r="C134" s="39">
        <v>5909</v>
      </c>
      <c r="D134" s="39">
        <v>24509</v>
      </c>
      <c r="E134" s="39">
        <v>8013</v>
      </c>
      <c r="F134" s="39">
        <v>111</v>
      </c>
      <c r="G134" s="39">
        <v>38542</v>
      </c>
    </row>
    <row r="135" spans="1:7" ht="14.5" x14ac:dyDescent="0.35">
      <c r="A135" s="38" t="s">
        <v>1012</v>
      </c>
      <c r="B135" s="39">
        <v>0</v>
      </c>
      <c r="C135" s="39">
        <v>3</v>
      </c>
      <c r="D135" s="39">
        <v>9844</v>
      </c>
      <c r="E135" s="39">
        <v>8370</v>
      </c>
      <c r="F135" s="39">
        <v>2507</v>
      </c>
      <c r="G135" s="39">
        <v>20724</v>
      </c>
    </row>
    <row r="136" spans="1:7" ht="14.5" x14ac:dyDescent="0.35">
      <c r="A136" s="38" t="s">
        <v>1013</v>
      </c>
      <c r="B136" s="39">
        <v>543</v>
      </c>
      <c r="C136" s="39">
        <v>9910</v>
      </c>
      <c r="D136" s="39">
        <v>11762</v>
      </c>
      <c r="E136" s="39">
        <v>1748</v>
      </c>
      <c r="F136" s="39">
        <v>15</v>
      </c>
      <c r="G136" s="39">
        <v>23978</v>
      </c>
    </row>
    <row r="137" spans="1:7" ht="14.5" x14ac:dyDescent="0.35">
      <c r="A137" s="38" t="s">
        <v>1014</v>
      </c>
      <c r="B137" s="39">
        <v>0</v>
      </c>
      <c r="C137" s="39">
        <v>4256</v>
      </c>
      <c r="D137" s="39">
        <v>14267</v>
      </c>
      <c r="E137" s="39">
        <v>2990</v>
      </c>
      <c r="F137" s="39">
        <v>114</v>
      </c>
      <c r="G137" s="39">
        <v>21627</v>
      </c>
    </row>
    <row r="138" spans="1:7" ht="14.5" x14ac:dyDescent="0.35">
      <c r="A138" s="38" t="s">
        <v>1015</v>
      </c>
      <c r="B138" s="39">
        <v>0</v>
      </c>
      <c r="C138" s="39">
        <v>307</v>
      </c>
      <c r="D138" s="39">
        <v>5871</v>
      </c>
      <c r="E138" s="39">
        <v>4396</v>
      </c>
      <c r="F138" s="39">
        <v>1431</v>
      </c>
      <c r="G138" s="39">
        <v>12005</v>
      </c>
    </row>
    <row r="139" spans="1:7" ht="14.5" x14ac:dyDescent="0.35">
      <c r="A139" s="38" t="s">
        <v>1016</v>
      </c>
      <c r="B139" s="39">
        <v>1634</v>
      </c>
      <c r="C139" s="39">
        <v>34288</v>
      </c>
      <c r="D139" s="39">
        <v>56911</v>
      </c>
      <c r="E139" s="39">
        <v>5375</v>
      </c>
      <c r="F139" s="39">
        <v>230</v>
      </c>
      <c r="G139" s="39">
        <v>98438</v>
      </c>
    </row>
    <row r="140" spans="1:7" ht="14.5" x14ac:dyDescent="0.35">
      <c r="A140" s="38" t="s">
        <v>1017</v>
      </c>
      <c r="B140" s="39">
        <v>0</v>
      </c>
      <c r="C140" s="39">
        <v>10888</v>
      </c>
      <c r="D140" s="39">
        <v>49259</v>
      </c>
      <c r="E140" s="39">
        <v>17270</v>
      </c>
      <c r="F140" s="39">
        <v>356</v>
      </c>
      <c r="G140" s="39">
        <v>77773</v>
      </c>
    </row>
    <row r="141" spans="1:7" ht="14.5" x14ac:dyDescent="0.35">
      <c r="A141" s="38" t="s">
        <v>1018</v>
      </c>
      <c r="B141" s="39">
        <v>0</v>
      </c>
      <c r="C141" s="39">
        <v>140</v>
      </c>
      <c r="D141" s="39">
        <v>27246</v>
      </c>
      <c r="E141" s="39">
        <v>24101</v>
      </c>
      <c r="F141" s="39">
        <v>4900</v>
      </c>
      <c r="G141" s="39">
        <v>56387</v>
      </c>
    </row>
    <row r="142" spans="1:7" ht="14.5" x14ac:dyDescent="0.35">
      <c r="A142" s="38" t="s">
        <v>1019</v>
      </c>
      <c r="B142" s="39">
        <v>3265</v>
      </c>
      <c r="C142" s="39">
        <v>5922</v>
      </c>
      <c r="D142" s="39">
        <v>3666</v>
      </c>
      <c r="E142" s="39">
        <v>165</v>
      </c>
      <c r="F142" s="39">
        <v>0</v>
      </c>
      <c r="G142" s="39">
        <v>13018</v>
      </c>
    </row>
    <row r="143" spans="1:7" ht="14.5" x14ac:dyDescent="0.35">
      <c r="A143" s="38" t="s">
        <v>1020</v>
      </c>
      <c r="B143" s="39">
        <v>533</v>
      </c>
      <c r="C143" s="39">
        <v>9848</v>
      </c>
      <c r="D143" s="39">
        <v>12112</v>
      </c>
      <c r="E143" s="39">
        <v>2383</v>
      </c>
      <c r="F143" s="39">
        <v>13</v>
      </c>
      <c r="G143" s="39">
        <v>24889</v>
      </c>
    </row>
    <row r="144" spans="1:7" ht="14.5" x14ac:dyDescent="0.35">
      <c r="A144" s="38" t="s">
        <v>1021</v>
      </c>
      <c r="B144" s="39">
        <v>26</v>
      </c>
      <c r="C144" s="39">
        <v>3353</v>
      </c>
      <c r="D144" s="39">
        <v>8940</v>
      </c>
      <c r="E144" s="39">
        <v>3307</v>
      </c>
      <c r="F144" s="39">
        <v>107</v>
      </c>
      <c r="G144" s="39">
        <v>15733</v>
      </c>
    </row>
    <row r="145" spans="1:7" ht="14.5" x14ac:dyDescent="0.35">
      <c r="A145" s="38" t="s">
        <v>1022</v>
      </c>
      <c r="B145" s="39">
        <v>0</v>
      </c>
      <c r="C145" s="39">
        <v>119</v>
      </c>
      <c r="D145" s="39">
        <v>4877</v>
      </c>
      <c r="E145" s="39">
        <v>11537</v>
      </c>
      <c r="F145" s="39">
        <v>1809</v>
      </c>
      <c r="G145" s="39">
        <v>18342</v>
      </c>
    </row>
    <row r="146" spans="1:7" ht="14.5" x14ac:dyDescent="0.35">
      <c r="A146" s="38" t="s">
        <v>1023</v>
      </c>
      <c r="B146" s="39">
        <v>492</v>
      </c>
      <c r="C146" s="39">
        <v>5851</v>
      </c>
      <c r="D146" s="39">
        <v>13759</v>
      </c>
      <c r="E146" s="39">
        <v>0</v>
      </c>
      <c r="F146" s="39">
        <v>0</v>
      </c>
      <c r="G146" s="39">
        <v>20102</v>
      </c>
    </row>
    <row r="147" spans="1:7" ht="14.5" x14ac:dyDescent="0.35">
      <c r="A147" s="38" t="s">
        <v>1024</v>
      </c>
      <c r="B147" s="39">
        <v>7</v>
      </c>
      <c r="C147" s="39">
        <v>861</v>
      </c>
      <c r="D147" s="39">
        <v>5642</v>
      </c>
      <c r="E147" s="39">
        <v>5179</v>
      </c>
      <c r="F147" s="39">
        <v>285</v>
      </c>
      <c r="G147" s="39">
        <v>11974</v>
      </c>
    </row>
    <row r="148" spans="1:7" ht="14.5" x14ac:dyDescent="0.35">
      <c r="A148" s="38" t="s">
        <v>1025</v>
      </c>
      <c r="B148" s="39">
        <v>1341</v>
      </c>
      <c r="C148" s="39">
        <v>18569</v>
      </c>
      <c r="D148" s="39">
        <v>20019</v>
      </c>
      <c r="E148" s="39">
        <v>2736</v>
      </c>
      <c r="F148" s="39">
        <v>0</v>
      </c>
      <c r="G148" s="39">
        <v>42665</v>
      </c>
    </row>
    <row r="149" spans="1:7" ht="14.5" x14ac:dyDescent="0.35">
      <c r="A149" s="38" t="s">
        <v>1026</v>
      </c>
      <c r="B149" s="39">
        <v>47</v>
      </c>
      <c r="C149" s="39">
        <v>32443</v>
      </c>
      <c r="D149" s="39">
        <v>103943</v>
      </c>
      <c r="E149" s="39">
        <v>39752</v>
      </c>
      <c r="F149" s="39">
        <v>1897</v>
      </c>
      <c r="G149" s="39">
        <v>178082</v>
      </c>
    </row>
    <row r="150" spans="1:7" ht="14.5" x14ac:dyDescent="0.35">
      <c r="A150" s="38" t="s">
        <v>1027</v>
      </c>
      <c r="B150" s="39">
        <v>0</v>
      </c>
      <c r="C150" s="39">
        <v>0</v>
      </c>
      <c r="D150" s="39">
        <v>11076</v>
      </c>
      <c r="E150" s="39">
        <v>218883</v>
      </c>
      <c r="F150" s="39">
        <v>39831</v>
      </c>
      <c r="G150" s="39">
        <v>269790</v>
      </c>
    </row>
    <row r="151" spans="1:7" ht="14.5" x14ac:dyDescent="0.35">
      <c r="A151" s="38" t="s">
        <v>1028</v>
      </c>
      <c r="B151" s="39">
        <v>3405</v>
      </c>
      <c r="C151" s="39">
        <v>18335</v>
      </c>
      <c r="D151" s="39">
        <v>18349</v>
      </c>
      <c r="E151" s="39">
        <v>4278</v>
      </c>
      <c r="F151" s="39">
        <v>0</v>
      </c>
      <c r="G151" s="39">
        <v>44367</v>
      </c>
    </row>
    <row r="152" spans="1:7" ht="14.5" x14ac:dyDescent="0.35">
      <c r="A152" s="38" t="s">
        <v>1029</v>
      </c>
      <c r="B152" s="39">
        <v>141</v>
      </c>
      <c r="C152" s="39">
        <v>23281</v>
      </c>
      <c r="D152" s="39">
        <v>34576</v>
      </c>
      <c r="E152" s="39">
        <v>6583</v>
      </c>
      <c r="F152" s="39">
        <v>155</v>
      </c>
      <c r="G152" s="39">
        <v>64736</v>
      </c>
    </row>
    <row r="153" spans="1:7" ht="14.5" x14ac:dyDescent="0.35">
      <c r="A153" s="38" t="s">
        <v>1030</v>
      </c>
      <c r="B153" s="39">
        <v>0</v>
      </c>
      <c r="C153" s="39">
        <v>8683</v>
      </c>
      <c r="D153" s="39">
        <v>85011</v>
      </c>
      <c r="E153" s="39">
        <v>30514</v>
      </c>
      <c r="F153" s="39">
        <v>2283</v>
      </c>
      <c r="G153" s="39">
        <v>126491</v>
      </c>
    </row>
    <row r="154" spans="1:7" ht="14.5" x14ac:dyDescent="0.35">
      <c r="A154" s="38" t="s">
        <v>1031</v>
      </c>
      <c r="B154" s="39">
        <v>0</v>
      </c>
      <c r="C154" s="39">
        <v>0</v>
      </c>
      <c r="D154" s="39">
        <v>43364</v>
      </c>
      <c r="E154" s="39">
        <v>241970</v>
      </c>
      <c r="F154" s="39">
        <v>40566</v>
      </c>
      <c r="G154" s="39">
        <v>325900</v>
      </c>
    </row>
    <row r="155" spans="1:7" ht="14.5" x14ac:dyDescent="0.35">
      <c r="A155" s="38" t="s">
        <v>1032</v>
      </c>
      <c r="B155" s="39">
        <v>2169</v>
      </c>
      <c r="C155" s="39">
        <v>16528</v>
      </c>
      <c r="D155" s="39">
        <v>14541</v>
      </c>
      <c r="E155" s="39">
        <v>88</v>
      </c>
      <c r="F155" s="39">
        <v>0</v>
      </c>
      <c r="G155" s="39">
        <v>33326</v>
      </c>
    </row>
    <row r="156" spans="1:7" ht="14.5" x14ac:dyDescent="0.35">
      <c r="A156" s="38" t="s">
        <v>1033</v>
      </c>
      <c r="B156" s="39">
        <v>195</v>
      </c>
      <c r="C156" s="39">
        <v>20551</v>
      </c>
      <c r="D156" s="39">
        <v>83415</v>
      </c>
      <c r="E156" s="39">
        <v>34178</v>
      </c>
      <c r="F156" s="39">
        <v>1270</v>
      </c>
      <c r="G156" s="39">
        <v>139609</v>
      </c>
    </row>
    <row r="157" spans="1:7" ht="14.5" x14ac:dyDescent="0.35">
      <c r="A157" s="38" t="s">
        <v>1034</v>
      </c>
      <c r="B157" s="39">
        <v>0</v>
      </c>
      <c r="C157" s="39">
        <v>0</v>
      </c>
      <c r="D157" s="39">
        <v>21253</v>
      </c>
      <c r="E157" s="39">
        <v>213616</v>
      </c>
      <c r="F157" s="39">
        <v>53638</v>
      </c>
      <c r="G157" s="39">
        <v>288507</v>
      </c>
    </row>
    <row r="158" spans="1:7" ht="14.5" x14ac:dyDescent="0.35">
      <c r="A158" s="38" t="s">
        <v>1035</v>
      </c>
      <c r="B158" s="39">
        <v>337</v>
      </c>
      <c r="C158" s="39">
        <v>663</v>
      </c>
      <c r="D158" s="39">
        <v>141</v>
      </c>
      <c r="E158" s="39">
        <v>0</v>
      </c>
      <c r="F158" s="39">
        <v>0</v>
      </c>
      <c r="G158" s="39">
        <v>1141</v>
      </c>
    </row>
    <row r="159" spans="1:7" ht="14.5" x14ac:dyDescent="0.35">
      <c r="A159" s="38" t="s">
        <v>1036</v>
      </c>
      <c r="B159" s="39">
        <v>107</v>
      </c>
      <c r="C159" s="39">
        <v>1415</v>
      </c>
      <c r="D159" s="39">
        <v>1573</v>
      </c>
      <c r="E159" s="39">
        <v>232</v>
      </c>
      <c r="F159" s="39">
        <v>3</v>
      </c>
      <c r="G159" s="39">
        <v>3330</v>
      </c>
    </row>
    <row r="160" spans="1:7" ht="14.5" x14ac:dyDescent="0.35">
      <c r="A160" s="38" t="s">
        <v>1037</v>
      </c>
      <c r="B160" s="39">
        <v>0</v>
      </c>
      <c r="C160" s="39">
        <v>3491</v>
      </c>
      <c r="D160" s="39">
        <v>10277</v>
      </c>
      <c r="E160" s="39">
        <v>12301</v>
      </c>
      <c r="F160" s="39">
        <v>2418</v>
      </c>
      <c r="G160" s="39">
        <v>28487</v>
      </c>
    </row>
    <row r="161" spans="1:7" ht="14.5" x14ac:dyDescent="0.35">
      <c r="A161" s="38" t="s">
        <v>1038</v>
      </c>
      <c r="B161" s="39">
        <v>6082</v>
      </c>
      <c r="C161" s="39">
        <v>15797</v>
      </c>
      <c r="D161" s="39">
        <v>412</v>
      </c>
      <c r="E161" s="39">
        <v>0</v>
      </c>
      <c r="F161" s="39">
        <v>0</v>
      </c>
      <c r="G161" s="39">
        <v>22291</v>
      </c>
    </row>
    <row r="162" spans="1:7" ht="14.5" x14ac:dyDescent="0.35">
      <c r="A162" s="38" t="s">
        <v>1039</v>
      </c>
      <c r="B162" s="39">
        <v>33</v>
      </c>
      <c r="C162" s="39">
        <v>11258</v>
      </c>
      <c r="D162" s="39">
        <v>14472</v>
      </c>
      <c r="E162" s="39">
        <v>1130</v>
      </c>
      <c r="F162" s="39">
        <v>9</v>
      </c>
      <c r="G162" s="39">
        <v>26902</v>
      </c>
    </row>
    <row r="163" spans="1:7" ht="14.5" x14ac:dyDescent="0.35">
      <c r="A163" s="38" t="s">
        <v>1040</v>
      </c>
      <c r="B163" s="39">
        <v>0</v>
      </c>
      <c r="C163" s="39">
        <v>1101</v>
      </c>
      <c r="D163" s="39">
        <v>9390</v>
      </c>
      <c r="E163" s="39">
        <v>9083</v>
      </c>
      <c r="F163" s="39">
        <v>2356</v>
      </c>
      <c r="G163" s="39">
        <v>21930</v>
      </c>
    </row>
    <row r="164" spans="1:7" ht="14.5" x14ac:dyDescent="0.35">
      <c r="A164" s="38" t="s">
        <v>1041</v>
      </c>
      <c r="B164" s="39">
        <v>1969</v>
      </c>
      <c r="C164" s="39">
        <v>14896</v>
      </c>
      <c r="D164" s="39">
        <v>5215</v>
      </c>
      <c r="E164" s="39">
        <v>446</v>
      </c>
      <c r="F164" s="39">
        <v>0</v>
      </c>
      <c r="G164" s="39">
        <v>22526</v>
      </c>
    </row>
    <row r="165" spans="1:7" ht="14.5" x14ac:dyDescent="0.35">
      <c r="A165" s="38" t="s">
        <v>1042</v>
      </c>
      <c r="B165" s="39">
        <v>1</v>
      </c>
      <c r="C165" s="39">
        <v>7061</v>
      </c>
      <c r="D165" s="39">
        <v>17216</v>
      </c>
      <c r="E165" s="39">
        <v>9319</v>
      </c>
      <c r="F165" s="39">
        <v>888</v>
      </c>
      <c r="G165" s="39">
        <v>34485</v>
      </c>
    </row>
    <row r="166" spans="1:7" ht="14.5" x14ac:dyDescent="0.35">
      <c r="A166" s="38" t="s">
        <v>1043</v>
      </c>
      <c r="B166" s="39">
        <v>412</v>
      </c>
      <c r="C166" s="39">
        <v>7561</v>
      </c>
      <c r="D166" s="39">
        <v>19602</v>
      </c>
      <c r="E166" s="39">
        <v>4682</v>
      </c>
      <c r="F166" s="39">
        <v>225</v>
      </c>
      <c r="G166" s="39">
        <v>32482</v>
      </c>
    </row>
    <row r="167" spans="1:7" ht="14.5" x14ac:dyDescent="0.35">
      <c r="A167" s="38" t="s">
        <v>1044</v>
      </c>
      <c r="B167" s="39">
        <v>0</v>
      </c>
      <c r="C167" s="39">
        <v>2855</v>
      </c>
      <c r="D167" s="39">
        <v>17370</v>
      </c>
      <c r="E167" s="39">
        <v>31521</v>
      </c>
      <c r="F167" s="39">
        <v>9418</v>
      </c>
      <c r="G167" s="39">
        <v>61164</v>
      </c>
    </row>
    <row r="168" spans="1:7" ht="14.5" x14ac:dyDescent="0.35">
      <c r="A168" s="38" t="s">
        <v>1045</v>
      </c>
      <c r="B168" s="39">
        <v>24</v>
      </c>
      <c r="C168" s="39">
        <v>2904</v>
      </c>
      <c r="D168" s="39">
        <v>5173</v>
      </c>
      <c r="E168" s="39">
        <v>994</v>
      </c>
      <c r="F168" s="39">
        <v>0</v>
      </c>
      <c r="G168" s="39">
        <v>9095</v>
      </c>
    </row>
    <row r="169" spans="1:7" ht="14.5" x14ac:dyDescent="0.35">
      <c r="A169" s="38" t="s">
        <v>1046</v>
      </c>
      <c r="B169" s="39">
        <v>0</v>
      </c>
      <c r="C169" s="39">
        <v>198</v>
      </c>
      <c r="D169" s="39">
        <v>4427</v>
      </c>
      <c r="E169" s="39">
        <v>7333</v>
      </c>
      <c r="F169" s="39">
        <v>1197</v>
      </c>
      <c r="G169" s="39">
        <v>13155</v>
      </c>
    </row>
    <row r="170" spans="1:7" ht="14.5" x14ac:dyDescent="0.35">
      <c r="A170" s="38" t="s">
        <v>1047</v>
      </c>
      <c r="B170" s="39">
        <v>1587</v>
      </c>
      <c r="C170" s="39">
        <v>14490</v>
      </c>
      <c r="D170" s="39">
        <v>17579</v>
      </c>
      <c r="E170" s="39">
        <v>493</v>
      </c>
      <c r="F170" s="39">
        <v>0</v>
      </c>
      <c r="G170" s="39">
        <v>34149</v>
      </c>
    </row>
    <row r="171" spans="1:7" ht="14.5" x14ac:dyDescent="0.35">
      <c r="A171" s="38" t="s">
        <v>1048</v>
      </c>
      <c r="B171" s="39">
        <v>83</v>
      </c>
      <c r="C171" s="39">
        <v>19866</v>
      </c>
      <c r="D171" s="39">
        <v>56021</v>
      </c>
      <c r="E171" s="39">
        <v>12048</v>
      </c>
      <c r="F171" s="39">
        <v>23</v>
      </c>
      <c r="G171" s="39">
        <v>88041</v>
      </c>
    </row>
    <row r="172" spans="1:7" ht="14.5" x14ac:dyDescent="0.35">
      <c r="A172" s="38" t="s">
        <v>1049</v>
      </c>
      <c r="B172" s="39">
        <v>0</v>
      </c>
      <c r="C172" s="39">
        <v>9631</v>
      </c>
      <c r="D172" s="39">
        <v>82642</v>
      </c>
      <c r="E172" s="39">
        <v>90558</v>
      </c>
      <c r="F172" s="39">
        <v>28519</v>
      </c>
      <c r="G172" s="39">
        <v>211350</v>
      </c>
    </row>
    <row r="173" spans="1:7" ht="14.5" x14ac:dyDescent="0.35">
      <c r="A173" s="38" t="s">
        <v>1050</v>
      </c>
      <c r="B173" s="39">
        <v>812</v>
      </c>
      <c r="C173" s="39">
        <v>8603</v>
      </c>
      <c r="D173" s="39">
        <v>9344</v>
      </c>
      <c r="E173" s="39">
        <v>1197</v>
      </c>
      <c r="F173" s="39">
        <v>2</v>
      </c>
      <c r="G173" s="39">
        <v>19958</v>
      </c>
    </row>
    <row r="174" spans="1:7" ht="14.5" x14ac:dyDescent="0.35">
      <c r="A174" s="38" t="s">
        <v>1051</v>
      </c>
      <c r="B174" s="39">
        <v>29</v>
      </c>
      <c r="C174" s="39">
        <v>5260</v>
      </c>
      <c r="D174" s="39">
        <v>9426</v>
      </c>
      <c r="E174" s="39">
        <v>2607</v>
      </c>
      <c r="F174" s="39">
        <v>135</v>
      </c>
      <c r="G174" s="39">
        <v>17457</v>
      </c>
    </row>
    <row r="175" spans="1:7" ht="14.5" x14ac:dyDescent="0.35">
      <c r="A175" s="38" t="s">
        <v>1052</v>
      </c>
      <c r="B175" s="39">
        <v>0</v>
      </c>
      <c r="C175" s="39">
        <v>0</v>
      </c>
      <c r="D175" s="39">
        <v>1616</v>
      </c>
      <c r="E175" s="39">
        <v>7417</v>
      </c>
      <c r="F175" s="39">
        <v>4786</v>
      </c>
      <c r="G175" s="39">
        <v>13819</v>
      </c>
    </row>
    <row r="176" spans="1:7" ht="14.5" x14ac:dyDescent="0.35">
      <c r="A176" s="38" t="s">
        <v>1053</v>
      </c>
      <c r="B176" s="39">
        <v>130</v>
      </c>
      <c r="C176" s="39">
        <v>1627</v>
      </c>
      <c r="D176" s="39">
        <v>3500</v>
      </c>
      <c r="E176" s="39">
        <v>971</v>
      </c>
      <c r="F176" s="39">
        <v>17</v>
      </c>
      <c r="G176" s="39">
        <v>6245</v>
      </c>
    </row>
    <row r="177" spans="1:7" ht="14.5" x14ac:dyDescent="0.35">
      <c r="A177" s="38" t="s">
        <v>1054</v>
      </c>
      <c r="B177" s="39">
        <v>0</v>
      </c>
      <c r="C177" s="39">
        <v>1583</v>
      </c>
      <c r="D177" s="39">
        <v>3915</v>
      </c>
      <c r="E177" s="39">
        <v>2568</v>
      </c>
      <c r="F177" s="39">
        <v>866</v>
      </c>
      <c r="G177" s="39">
        <v>8932</v>
      </c>
    </row>
    <row r="178" spans="1:7" ht="14.5" x14ac:dyDescent="0.35">
      <c r="A178" s="38" t="s">
        <v>1055</v>
      </c>
      <c r="B178" s="39">
        <v>434</v>
      </c>
      <c r="C178" s="39">
        <v>1813</v>
      </c>
      <c r="D178" s="39">
        <v>5450</v>
      </c>
      <c r="E178" s="39">
        <v>2907</v>
      </c>
      <c r="F178" s="39">
        <v>447</v>
      </c>
      <c r="G178" s="39">
        <v>11051</v>
      </c>
    </row>
    <row r="179" spans="1:7" ht="14.5" x14ac:dyDescent="0.35">
      <c r="A179" s="38" t="s">
        <v>1056</v>
      </c>
      <c r="B179" s="39">
        <v>1</v>
      </c>
      <c r="C179" s="39">
        <v>2175</v>
      </c>
      <c r="D179" s="39">
        <v>12908</v>
      </c>
      <c r="E179" s="39">
        <v>35308</v>
      </c>
      <c r="F179" s="39">
        <v>56200</v>
      </c>
      <c r="G179" s="39">
        <v>106592</v>
      </c>
    </row>
    <row r="180" spans="1:7" ht="14.5" x14ac:dyDescent="0.35">
      <c r="A180" s="38" t="s">
        <v>1057</v>
      </c>
      <c r="B180" s="39">
        <v>3</v>
      </c>
      <c r="C180" s="39">
        <v>63</v>
      </c>
      <c r="D180" s="39">
        <v>719</v>
      </c>
      <c r="E180" s="39">
        <v>201</v>
      </c>
      <c r="F180" s="39">
        <v>79</v>
      </c>
      <c r="G180" s="39">
        <v>1069</v>
      </c>
    </row>
    <row r="181" spans="1:7" ht="14.5" x14ac:dyDescent="0.35">
      <c r="A181" s="38" t="s">
        <v>1058</v>
      </c>
      <c r="B181" s="39">
        <v>151</v>
      </c>
      <c r="C181" s="39">
        <v>9130</v>
      </c>
      <c r="D181" s="39">
        <v>33197</v>
      </c>
      <c r="E181" s="39">
        <v>18766</v>
      </c>
      <c r="F181" s="39">
        <v>3664</v>
      </c>
      <c r="G181" s="39">
        <v>64960</v>
      </c>
    </row>
    <row r="182" spans="1:7" ht="14.5" x14ac:dyDescent="0.35">
      <c r="A182" s="38" t="s">
        <v>1059</v>
      </c>
      <c r="B182" s="39">
        <v>62</v>
      </c>
      <c r="C182" s="39">
        <v>1704</v>
      </c>
      <c r="D182" s="39">
        <v>4478</v>
      </c>
      <c r="E182" s="39">
        <v>4318</v>
      </c>
      <c r="F182" s="39">
        <v>2091</v>
      </c>
      <c r="G182" s="39">
        <v>12653</v>
      </c>
    </row>
    <row r="183" spans="1:7" ht="14.5" x14ac:dyDescent="0.35">
      <c r="A183" s="38" t="s">
        <v>1060</v>
      </c>
      <c r="B183" s="39">
        <v>119</v>
      </c>
      <c r="C183" s="39">
        <v>264</v>
      </c>
      <c r="D183" s="39">
        <v>338</v>
      </c>
      <c r="E183" s="39">
        <v>174</v>
      </c>
      <c r="F183" s="39">
        <v>216</v>
      </c>
      <c r="G183" s="39">
        <v>1395</v>
      </c>
    </row>
    <row r="184" spans="1:7" ht="14.5" x14ac:dyDescent="0.35">
      <c r="A184" s="41" t="s">
        <v>304</v>
      </c>
      <c r="B184" s="42">
        <v>86831</v>
      </c>
      <c r="C184" s="42">
        <v>1608414</v>
      </c>
      <c r="D184" s="42">
        <v>3789676</v>
      </c>
      <c r="E184" s="42">
        <v>3050990</v>
      </c>
      <c r="F184" s="42">
        <v>555221</v>
      </c>
      <c r="G184" s="42">
        <v>9094312</v>
      </c>
    </row>
    <row r="185" spans="1:7" ht="14.5" x14ac:dyDescent="0.35">
      <c r="A185" s="98" t="s">
        <v>877</v>
      </c>
      <c r="B185" s="99"/>
      <c r="C185" s="99"/>
      <c r="D185" s="99"/>
      <c r="E185" s="99"/>
      <c r="F185" s="99"/>
      <c r="G185" s="99"/>
    </row>
    <row r="186" spans="1:7" ht="14.5" x14ac:dyDescent="0.35">
      <c r="A186" s="98" t="s">
        <v>1061</v>
      </c>
      <c r="B186" s="99"/>
      <c r="C186" s="99"/>
      <c r="D186" s="99"/>
      <c r="E186" s="99"/>
      <c r="F186" s="99"/>
      <c r="G186" s="99"/>
    </row>
    <row r="187" spans="1:7" ht="14.5" x14ac:dyDescent="0.35">
      <c r="A187" s="44"/>
      <c r="B187" s="35"/>
      <c r="C187" s="35"/>
      <c r="D187" s="35"/>
      <c r="E187" s="35"/>
      <c r="F187" s="35"/>
      <c r="G187" s="35"/>
    </row>
    <row r="188" spans="1:7" ht="14.5" x14ac:dyDescent="0.35">
      <c r="A188" s="35" t="s">
        <v>290</v>
      </c>
      <c r="B188" s="35"/>
      <c r="C188" s="35"/>
      <c r="D188" s="35"/>
      <c r="E188" s="35"/>
      <c r="F188" s="35"/>
      <c r="G188" s="35"/>
    </row>
    <row r="189" spans="1:7" ht="14.5" x14ac:dyDescent="0.35">
      <c r="A189" s="45" t="s">
        <v>291</v>
      </c>
      <c r="B189" s="35"/>
      <c r="C189" s="35"/>
      <c r="D189" s="35"/>
      <c r="E189" s="35"/>
      <c r="F189" s="35"/>
      <c r="G189" s="35"/>
    </row>
    <row r="190" spans="1:7" ht="14.5" x14ac:dyDescent="0.35">
      <c r="A190" s="35"/>
      <c r="B190" s="35"/>
      <c r="C190" s="35"/>
      <c r="D190" s="35"/>
      <c r="E190" s="35"/>
      <c r="F190" s="35"/>
      <c r="G190" s="35"/>
    </row>
    <row r="191" spans="1:7" ht="14.5" x14ac:dyDescent="0.35">
      <c r="A191" s="45" t="s">
        <v>3</v>
      </c>
      <c r="B191" s="35"/>
      <c r="C191" s="35"/>
      <c r="D191" s="35"/>
      <c r="E191" s="35"/>
      <c r="F191" s="35"/>
      <c r="G191" s="35"/>
    </row>
    <row r="192" spans="1:7" ht="14.5" x14ac:dyDescent="0.35">
      <c r="A192" s="35"/>
      <c r="B192" s="35"/>
      <c r="C192" s="35"/>
      <c r="D192" s="35"/>
      <c r="E192" s="35"/>
      <c r="F192" s="35"/>
      <c r="G192" s="35"/>
    </row>
    <row r="193" spans="1:7" ht="14.5" x14ac:dyDescent="0.35">
      <c r="A193" s="45" t="s">
        <v>292</v>
      </c>
      <c r="B193" s="35"/>
      <c r="C193" s="35"/>
      <c r="D193" s="35"/>
      <c r="E193" s="35"/>
      <c r="F193" s="35"/>
      <c r="G193" s="35"/>
    </row>
  </sheetData>
  <mergeCells count="3">
    <mergeCell ref="A185:G185"/>
    <mergeCell ref="A1:G1"/>
    <mergeCell ref="A186:G186"/>
  </mergeCells>
  <hyperlinks>
    <hyperlink ref="A189" r:id="rId1" xr:uid="{00000000-0004-0000-2E00-000000000000}"/>
    <hyperlink ref="A191" location="'Technical specifications'!A1" display="Technical specifications" xr:uid="{00000000-0004-0000-2E00-000001000000}"/>
    <hyperlink ref="A193" location="Contents!A1" display="Back to contents" xr:uid="{00000000-0004-0000-2E00-000002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E374"/>
  <sheetViews>
    <sheetView workbookViewId="0">
      <selection sqref="A1:E1"/>
    </sheetView>
  </sheetViews>
  <sheetFormatPr defaultRowHeight="14.75" customHeight="1" x14ac:dyDescent="0.35"/>
  <cols>
    <col min="1" max="1" width="87" customWidth="1"/>
    <col min="2" max="2" width="13" customWidth="1"/>
    <col min="3" max="5" width="20" customWidth="1"/>
  </cols>
  <sheetData>
    <row r="1" spans="1:5" ht="33.75" customHeight="1" x14ac:dyDescent="0.35">
      <c r="A1" s="96" t="s">
        <v>1062</v>
      </c>
      <c r="B1" s="97"/>
      <c r="C1" s="97"/>
      <c r="D1" s="97"/>
      <c r="E1" s="97"/>
    </row>
    <row r="2" spans="1:5" ht="22" x14ac:dyDescent="0.35">
      <c r="A2" s="36" t="s">
        <v>880</v>
      </c>
      <c r="B2" s="36" t="s">
        <v>294</v>
      </c>
      <c r="C2" s="37" t="s">
        <v>428</v>
      </c>
      <c r="D2" s="37" t="s">
        <v>429</v>
      </c>
      <c r="E2" s="37" t="s">
        <v>430</v>
      </c>
    </row>
    <row r="3" spans="1:5" ht="14.5" x14ac:dyDescent="0.35">
      <c r="A3" s="38" t="s">
        <v>881</v>
      </c>
      <c r="B3" s="38" t="s">
        <v>296</v>
      </c>
      <c r="C3" s="39">
        <v>0</v>
      </c>
      <c r="D3" s="39">
        <v>479189</v>
      </c>
      <c r="E3" s="39">
        <v>479189</v>
      </c>
    </row>
    <row r="4" spans="1:5" ht="14.5" x14ac:dyDescent="0.35">
      <c r="A4" s="38" t="s">
        <v>882</v>
      </c>
      <c r="B4" s="38" t="s">
        <v>296</v>
      </c>
      <c r="C4" s="39">
        <v>10238</v>
      </c>
      <c r="D4" s="39">
        <v>62719</v>
      </c>
      <c r="E4" s="39">
        <v>72957</v>
      </c>
    </row>
    <row r="5" spans="1:5" ht="14.5" x14ac:dyDescent="0.35">
      <c r="A5" s="38" t="s">
        <v>363</v>
      </c>
      <c r="B5" s="38" t="s">
        <v>296</v>
      </c>
      <c r="C5" s="39">
        <v>0</v>
      </c>
      <c r="D5" s="39">
        <v>1455</v>
      </c>
      <c r="E5" s="39">
        <v>1455</v>
      </c>
    </row>
    <row r="6" spans="1:5" ht="14.5" x14ac:dyDescent="0.35">
      <c r="A6" s="38" t="s">
        <v>883</v>
      </c>
      <c r="B6" s="38" t="s">
        <v>296</v>
      </c>
      <c r="C6" s="39">
        <v>3888</v>
      </c>
      <c r="D6" s="39">
        <v>353</v>
      </c>
      <c r="E6" s="39">
        <v>4241</v>
      </c>
    </row>
    <row r="7" spans="1:5" ht="14.5" x14ac:dyDescent="0.35">
      <c r="A7" s="38" t="s">
        <v>884</v>
      </c>
      <c r="B7" s="38" t="s">
        <v>296</v>
      </c>
      <c r="C7" s="39">
        <v>1181</v>
      </c>
      <c r="D7" s="39">
        <v>2128</v>
      </c>
      <c r="E7" s="39">
        <v>3309</v>
      </c>
    </row>
    <row r="8" spans="1:5" ht="14.5" x14ac:dyDescent="0.35">
      <c r="A8" s="38" t="s">
        <v>885</v>
      </c>
      <c r="B8" s="38" t="s">
        <v>296</v>
      </c>
      <c r="C8" s="39">
        <v>25499</v>
      </c>
      <c r="D8" s="39">
        <v>1708</v>
      </c>
      <c r="E8" s="39">
        <v>27207</v>
      </c>
    </row>
    <row r="9" spans="1:5" ht="14.5" x14ac:dyDescent="0.35">
      <c r="A9" s="38" t="s">
        <v>886</v>
      </c>
      <c r="B9" s="38" t="s">
        <v>296</v>
      </c>
      <c r="C9" s="39">
        <v>13493</v>
      </c>
      <c r="D9" s="39">
        <v>8058</v>
      </c>
      <c r="E9" s="39">
        <v>21551</v>
      </c>
    </row>
    <row r="10" spans="1:5" ht="14.5" x14ac:dyDescent="0.35">
      <c r="A10" s="38" t="s">
        <v>887</v>
      </c>
      <c r="B10" s="38" t="s">
        <v>296</v>
      </c>
      <c r="C10" s="39">
        <v>35163</v>
      </c>
      <c r="D10" s="39">
        <v>6092</v>
      </c>
      <c r="E10" s="39">
        <v>41255</v>
      </c>
    </row>
    <row r="11" spans="1:5" ht="14.5" x14ac:dyDescent="0.35">
      <c r="A11" s="38" t="s">
        <v>888</v>
      </c>
      <c r="B11" s="38" t="s">
        <v>296</v>
      </c>
      <c r="C11" s="39">
        <v>5527</v>
      </c>
      <c r="D11" s="39">
        <v>3682</v>
      </c>
      <c r="E11" s="39">
        <v>9209</v>
      </c>
    </row>
    <row r="12" spans="1:5" ht="14.5" x14ac:dyDescent="0.35">
      <c r="A12" s="38" t="s">
        <v>889</v>
      </c>
      <c r="B12" s="38" t="s">
        <v>296</v>
      </c>
      <c r="C12" s="39">
        <v>12064</v>
      </c>
      <c r="D12" s="39">
        <v>8316</v>
      </c>
      <c r="E12" s="39">
        <v>20380</v>
      </c>
    </row>
    <row r="13" spans="1:5" ht="14.5" x14ac:dyDescent="0.35">
      <c r="A13" s="38" t="s">
        <v>890</v>
      </c>
      <c r="B13" s="38" t="s">
        <v>296</v>
      </c>
      <c r="C13" s="39">
        <v>5299</v>
      </c>
      <c r="D13" s="39">
        <v>969</v>
      </c>
      <c r="E13" s="39">
        <v>6268</v>
      </c>
    </row>
    <row r="14" spans="1:5" ht="14.5" x14ac:dyDescent="0.35">
      <c r="A14" s="38" t="s">
        <v>891</v>
      </c>
      <c r="B14" s="38" t="s">
        <v>296</v>
      </c>
      <c r="C14" s="39">
        <v>7391</v>
      </c>
      <c r="D14" s="39">
        <v>8830</v>
      </c>
      <c r="E14" s="39">
        <v>16221</v>
      </c>
    </row>
    <row r="15" spans="1:5" ht="14.5" x14ac:dyDescent="0.35">
      <c r="A15" s="38" t="s">
        <v>892</v>
      </c>
      <c r="B15" s="38" t="s">
        <v>296</v>
      </c>
      <c r="C15" s="39">
        <v>686</v>
      </c>
      <c r="D15" s="39">
        <v>4825</v>
      </c>
      <c r="E15" s="39">
        <v>5511</v>
      </c>
    </row>
    <row r="16" spans="1:5" ht="14.5" x14ac:dyDescent="0.35">
      <c r="A16" s="38" t="s">
        <v>893</v>
      </c>
      <c r="B16" s="38" t="s">
        <v>296</v>
      </c>
      <c r="C16" s="39">
        <v>11813</v>
      </c>
      <c r="D16" s="39">
        <v>3544</v>
      </c>
      <c r="E16" s="39">
        <v>15357</v>
      </c>
    </row>
    <row r="17" spans="1:5" ht="14.5" x14ac:dyDescent="0.35">
      <c r="A17" s="38" t="s">
        <v>894</v>
      </c>
      <c r="B17" s="38" t="s">
        <v>296</v>
      </c>
      <c r="C17" s="39">
        <v>7620</v>
      </c>
      <c r="D17" s="39">
        <v>21010</v>
      </c>
      <c r="E17" s="39">
        <v>28630</v>
      </c>
    </row>
    <row r="18" spans="1:5" ht="14.5" x14ac:dyDescent="0.35">
      <c r="A18" s="38" t="s">
        <v>895</v>
      </c>
      <c r="B18" s="38" t="s">
        <v>296</v>
      </c>
      <c r="C18" s="39">
        <v>35759</v>
      </c>
      <c r="D18" s="39">
        <v>19015</v>
      </c>
      <c r="E18" s="39">
        <v>54774</v>
      </c>
    </row>
    <row r="19" spans="1:5" ht="14.5" x14ac:dyDescent="0.35">
      <c r="A19" s="38" t="s">
        <v>896</v>
      </c>
      <c r="B19" s="38" t="s">
        <v>296</v>
      </c>
      <c r="C19" s="39">
        <v>7109</v>
      </c>
      <c r="D19" s="39">
        <v>62094</v>
      </c>
      <c r="E19" s="39">
        <v>69203</v>
      </c>
    </row>
    <row r="20" spans="1:5" ht="14.5" x14ac:dyDescent="0.35">
      <c r="A20" s="38" t="s">
        <v>897</v>
      </c>
      <c r="B20" s="38" t="s">
        <v>296</v>
      </c>
      <c r="C20" s="39">
        <v>40401</v>
      </c>
      <c r="D20" s="39">
        <v>2504</v>
      </c>
      <c r="E20" s="39">
        <v>42905</v>
      </c>
    </row>
    <row r="21" spans="1:5" ht="14.5" x14ac:dyDescent="0.35">
      <c r="A21" s="38" t="s">
        <v>898</v>
      </c>
      <c r="B21" s="38" t="s">
        <v>296</v>
      </c>
      <c r="C21" s="39">
        <v>41611</v>
      </c>
      <c r="D21" s="39">
        <v>54327</v>
      </c>
      <c r="E21" s="39">
        <v>95938</v>
      </c>
    </row>
    <row r="22" spans="1:5" ht="14.5" x14ac:dyDescent="0.35">
      <c r="A22" s="38" t="s">
        <v>899</v>
      </c>
      <c r="B22" s="38" t="s">
        <v>296</v>
      </c>
      <c r="C22" s="39">
        <v>330</v>
      </c>
      <c r="D22" s="39">
        <v>27500</v>
      </c>
      <c r="E22" s="39">
        <v>27830</v>
      </c>
    </row>
    <row r="23" spans="1:5" ht="14.5" x14ac:dyDescent="0.35">
      <c r="A23" s="38" t="s">
        <v>900</v>
      </c>
      <c r="B23" s="38" t="s">
        <v>296</v>
      </c>
      <c r="C23" s="39">
        <v>11543</v>
      </c>
      <c r="D23" s="39">
        <v>5583</v>
      </c>
      <c r="E23" s="39">
        <v>17126</v>
      </c>
    </row>
    <row r="24" spans="1:5" ht="14.5" x14ac:dyDescent="0.35">
      <c r="A24" s="38" t="s">
        <v>901</v>
      </c>
      <c r="B24" s="38" t="s">
        <v>296</v>
      </c>
      <c r="C24" s="39">
        <v>626</v>
      </c>
      <c r="D24" s="39">
        <v>52933</v>
      </c>
      <c r="E24" s="39">
        <v>53559</v>
      </c>
    </row>
    <row r="25" spans="1:5" ht="14.5" x14ac:dyDescent="0.35">
      <c r="A25" s="38" t="s">
        <v>902</v>
      </c>
      <c r="B25" s="38" t="s">
        <v>296</v>
      </c>
      <c r="C25" s="39">
        <v>10</v>
      </c>
      <c r="D25" s="39">
        <v>72998</v>
      </c>
      <c r="E25" s="39">
        <v>73008</v>
      </c>
    </row>
    <row r="26" spans="1:5" ht="14.5" x14ac:dyDescent="0.35">
      <c r="A26" s="38" t="s">
        <v>903</v>
      </c>
      <c r="B26" s="38" t="s">
        <v>296</v>
      </c>
      <c r="C26" s="39">
        <v>17982</v>
      </c>
      <c r="D26" s="39">
        <v>9684</v>
      </c>
      <c r="E26" s="39">
        <v>27666</v>
      </c>
    </row>
    <row r="27" spans="1:5" ht="14.5" x14ac:dyDescent="0.35">
      <c r="A27" s="38" t="s">
        <v>904</v>
      </c>
      <c r="B27" s="38" t="s">
        <v>296</v>
      </c>
      <c r="C27" s="39">
        <v>2261</v>
      </c>
      <c r="D27" s="39">
        <v>27895</v>
      </c>
      <c r="E27" s="39">
        <v>30156</v>
      </c>
    </row>
    <row r="28" spans="1:5" ht="14.5" x14ac:dyDescent="0.35">
      <c r="A28" s="38" t="s">
        <v>905</v>
      </c>
      <c r="B28" s="38" t="s">
        <v>296</v>
      </c>
      <c r="C28" s="39">
        <v>183</v>
      </c>
      <c r="D28" s="39">
        <v>98862</v>
      </c>
      <c r="E28" s="39">
        <v>99045</v>
      </c>
    </row>
    <row r="29" spans="1:5" ht="14.5" x14ac:dyDescent="0.35">
      <c r="A29" s="38" t="s">
        <v>906</v>
      </c>
      <c r="B29" s="38" t="s">
        <v>296</v>
      </c>
      <c r="C29" s="39">
        <v>6056</v>
      </c>
      <c r="D29" s="39">
        <v>3325</v>
      </c>
      <c r="E29" s="39">
        <v>9381</v>
      </c>
    </row>
    <row r="30" spans="1:5" ht="14.5" x14ac:dyDescent="0.35">
      <c r="A30" s="38" t="s">
        <v>907</v>
      </c>
      <c r="B30" s="38" t="s">
        <v>296</v>
      </c>
      <c r="C30" s="39">
        <v>2456</v>
      </c>
      <c r="D30" s="39">
        <v>15044</v>
      </c>
      <c r="E30" s="39">
        <v>17500</v>
      </c>
    </row>
    <row r="31" spans="1:5" ht="14.5" x14ac:dyDescent="0.35">
      <c r="A31" s="38" t="s">
        <v>908</v>
      </c>
      <c r="B31" s="38" t="s">
        <v>296</v>
      </c>
      <c r="C31" s="39">
        <v>126</v>
      </c>
      <c r="D31" s="39">
        <v>42030</v>
      </c>
      <c r="E31" s="39">
        <v>42156</v>
      </c>
    </row>
    <row r="32" spans="1:5" ht="14.5" x14ac:dyDescent="0.35">
      <c r="A32" s="38" t="s">
        <v>909</v>
      </c>
      <c r="B32" s="38" t="s">
        <v>296</v>
      </c>
      <c r="C32" s="39">
        <v>10276</v>
      </c>
      <c r="D32" s="39">
        <v>1551</v>
      </c>
      <c r="E32" s="39">
        <v>11827</v>
      </c>
    </row>
    <row r="33" spans="1:5" ht="14.5" x14ac:dyDescent="0.35">
      <c r="A33" s="38" t="s">
        <v>910</v>
      </c>
      <c r="B33" s="38" t="s">
        <v>296</v>
      </c>
      <c r="C33" s="39">
        <v>7643</v>
      </c>
      <c r="D33" s="39">
        <v>1552</v>
      </c>
      <c r="E33" s="39">
        <v>9195</v>
      </c>
    </row>
    <row r="34" spans="1:5" ht="14.5" x14ac:dyDescent="0.35">
      <c r="A34" s="38" t="s">
        <v>911</v>
      </c>
      <c r="B34" s="38" t="s">
        <v>296</v>
      </c>
      <c r="C34" s="39">
        <v>2891</v>
      </c>
      <c r="D34" s="39">
        <v>2586</v>
      </c>
      <c r="E34" s="39">
        <v>5477</v>
      </c>
    </row>
    <row r="35" spans="1:5" ht="14.5" x14ac:dyDescent="0.35">
      <c r="A35" s="38" t="s">
        <v>912</v>
      </c>
      <c r="B35" s="38" t="s">
        <v>296</v>
      </c>
      <c r="C35" s="39">
        <v>16990</v>
      </c>
      <c r="D35" s="39">
        <v>849</v>
      </c>
      <c r="E35" s="39">
        <v>17839</v>
      </c>
    </row>
    <row r="36" spans="1:5" ht="14.5" x14ac:dyDescent="0.35">
      <c r="A36" s="38" t="s">
        <v>913</v>
      </c>
      <c r="B36" s="38" t="s">
        <v>296</v>
      </c>
      <c r="C36" s="39">
        <v>23314</v>
      </c>
      <c r="D36" s="39">
        <v>8792</v>
      </c>
      <c r="E36" s="39">
        <v>32106</v>
      </c>
    </row>
    <row r="37" spans="1:5" ht="14.5" x14ac:dyDescent="0.35">
      <c r="A37" s="38" t="s">
        <v>914</v>
      </c>
      <c r="B37" s="38" t="s">
        <v>296</v>
      </c>
      <c r="C37" s="39">
        <v>404</v>
      </c>
      <c r="D37" s="39">
        <v>7878</v>
      </c>
      <c r="E37" s="39">
        <v>8282</v>
      </c>
    </row>
    <row r="38" spans="1:5" ht="14.5" x14ac:dyDescent="0.35">
      <c r="A38" s="38" t="s">
        <v>915</v>
      </c>
      <c r="B38" s="38" t="s">
        <v>296</v>
      </c>
      <c r="C38" s="39">
        <v>4700</v>
      </c>
      <c r="D38" s="39">
        <v>700</v>
      </c>
      <c r="E38" s="39">
        <v>5400</v>
      </c>
    </row>
    <row r="39" spans="1:5" ht="14.5" x14ac:dyDescent="0.35">
      <c r="A39" s="38" t="s">
        <v>916</v>
      </c>
      <c r="B39" s="38" t="s">
        <v>296</v>
      </c>
      <c r="C39" s="39">
        <v>40281</v>
      </c>
      <c r="D39" s="39">
        <v>23936</v>
      </c>
      <c r="E39" s="39">
        <v>64217</v>
      </c>
    </row>
    <row r="40" spans="1:5" ht="14.5" x14ac:dyDescent="0.35">
      <c r="A40" s="38" t="s">
        <v>917</v>
      </c>
      <c r="B40" s="38" t="s">
        <v>296</v>
      </c>
      <c r="C40" s="39">
        <v>1179</v>
      </c>
      <c r="D40" s="39">
        <v>20684</v>
      </c>
      <c r="E40" s="39">
        <v>21863</v>
      </c>
    </row>
    <row r="41" spans="1:5" ht="14.5" x14ac:dyDescent="0.35">
      <c r="A41" s="38" t="s">
        <v>918</v>
      </c>
      <c r="B41" s="38" t="s">
        <v>296</v>
      </c>
      <c r="C41" s="39">
        <v>40271</v>
      </c>
      <c r="D41" s="39">
        <v>27541</v>
      </c>
      <c r="E41" s="39">
        <v>67812</v>
      </c>
    </row>
    <row r="42" spans="1:5" ht="14.5" x14ac:dyDescent="0.35">
      <c r="A42" s="38" t="s">
        <v>919</v>
      </c>
      <c r="B42" s="38" t="s">
        <v>296</v>
      </c>
      <c r="C42" s="39">
        <v>1727</v>
      </c>
      <c r="D42" s="39">
        <v>194134</v>
      </c>
      <c r="E42" s="39">
        <v>195861</v>
      </c>
    </row>
    <row r="43" spans="1:5" ht="14.5" x14ac:dyDescent="0.35">
      <c r="A43" s="38" t="s">
        <v>920</v>
      </c>
      <c r="B43" s="38" t="s">
        <v>296</v>
      </c>
      <c r="C43" s="39">
        <v>68104</v>
      </c>
      <c r="D43" s="39">
        <v>7671</v>
      </c>
      <c r="E43" s="39">
        <v>75775</v>
      </c>
    </row>
    <row r="44" spans="1:5" ht="14.5" x14ac:dyDescent="0.35">
      <c r="A44" s="38" t="s">
        <v>921</v>
      </c>
      <c r="B44" s="38" t="s">
        <v>296</v>
      </c>
      <c r="C44" s="39">
        <v>38022</v>
      </c>
      <c r="D44" s="39">
        <v>41270</v>
      </c>
      <c r="E44" s="39">
        <v>79292</v>
      </c>
    </row>
    <row r="45" spans="1:5" ht="14.5" x14ac:dyDescent="0.35">
      <c r="A45" s="38" t="s">
        <v>922</v>
      </c>
      <c r="B45" s="38" t="s">
        <v>296</v>
      </c>
      <c r="C45" s="39">
        <v>596</v>
      </c>
      <c r="D45" s="39">
        <v>56366</v>
      </c>
      <c r="E45" s="39">
        <v>56962</v>
      </c>
    </row>
    <row r="46" spans="1:5" ht="14.5" x14ac:dyDescent="0.35">
      <c r="A46" s="38" t="s">
        <v>923</v>
      </c>
      <c r="B46" s="38" t="s">
        <v>296</v>
      </c>
      <c r="C46" s="39">
        <v>27169</v>
      </c>
      <c r="D46" s="39">
        <v>1508</v>
      </c>
      <c r="E46" s="39">
        <v>28677</v>
      </c>
    </row>
    <row r="47" spans="1:5" ht="14.5" x14ac:dyDescent="0.35">
      <c r="A47" s="38" t="s">
        <v>924</v>
      </c>
      <c r="B47" s="38" t="s">
        <v>296</v>
      </c>
      <c r="C47" s="39">
        <v>40696</v>
      </c>
      <c r="D47" s="39">
        <v>11606</v>
      </c>
      <c r="E47" s="39">
        <v>52302</v>
      </c>
    </row>
    <row r="48" spans="1:5" ht="14.5" x14ac:dyDescent="0.35">
      <c r="A48" s="38" t="s">
        <v>925</v>
      </c>
      <c r="B48" s="38" t="s">
        <v>296</v>
      </c>
      <c r="C48" s="39">
        <v>13251</v>
      </c>
      <c r="D48" s="39">
        <v>47069</v>
      </c>
      <c r="E48" s="39">
        <v>60320</v>
      </c>
    </row>
    <row r="49" spans="1:5" ht="14.5" x14ac:dyDescent="0.35">
      <c r="A49" s="38" t="s">
        <v>926</v>
      </c>
      <c r="B49" s="38" t="s">
        <v>296</v>
      </c>
      <c r="C49" s="39">
        <v>710</v>
      </c>
      <c r="D49" s="39">
        <v>57307</v>
      </c>
      <c r="E49" s="39">
        <v>58017</v>
      </c>
    </row>
    <row r="50" spans="1:5" ht="14.5" x14ac:dyDescent="0.35">
      <c r="A50" s="38" t="s">
        <v>927</v>
      </c>
      <c r="B50" s="38" t="s">
        <v>296</v>
      </c>
      <c r="C50" s="39">
        <v>42498</v>
      </c>
      <c r="D50" s="39">
        <v>16518</v>
      </c>
      <c r="E50" s="39">
        <v>59016</v>
      </c>
    </row>
    <row r="51" spans="1:5" ht="14.5" x14ac:dyDescent="0.35">
      <c r="A51" s="38" t="s">
        <v>928</v>
      </c>
      <c r="B51" s="38" t="s">
        <v>296</v>
      </c>
      <c r="C51" s="39">
        <v>43107</v>
      </c>
      <c r="D51" s="39">
        <v>5224</v>
      </c>
      <c r="E51" s="39">
        <v>48331</v>
      </c>
    </row>
    <row r="52" spans="1:5" ht="14.5" x14ac:dyDescent="0.35">
      <c r="A52" s="38" t="s">
        <v>929</v>
      </c>
      <c r="B52" s="38" t="s">
        <v>296</v>
      </c>
      <c r="C52" s="39">
        <v>8754</v>
      </c>
      <c r="D52" s="39">
        <v>36507</v>
      </c>
      <c r="E52" s="39">
        <v>45261</v>
      </c>
    </row>
    <row r="53" spans="1:5" ht="14.5" x14ac:dyDescent="0.35">
      <c r="A53" s="38" t="s">
        <v>930</v>
      </c>
      <c r="B53" s="38" t="s">
        <v>296</v>
      </c>
      <c r="C53" s="39">
        <v>11111</v>
      </c>
      <c r="D53" s="39">
        <v>606</v>
      </c>
      <c r="E53" s="39">
        <v>11717</v>
      </c>
    </row>
    <row r="54" spans="1:5" ht="14.5" x14ac:dyDescent="0.35">
      <c r="A54" s="38" t="s">
        <v>931</v>
      </c>
      <c r="B54" s="38" t="s">
        <v>296</v>
      </c>
      <c r="C54" s="39">
        <v>17582</v>
      </c>
      <c r="D54" s="39">
        <v>6461</v>
      </c>
      <c r="E54" s="39">
        <v>24043</v>
      </c>
    </row>
    <row r="55" spans="1:5" ht="14.5" x14ac:dyDescent="0.35">
      <c r="A55" s="38" t="s">
        <v>932</v>
      </c>
      <c r="B55" s="38" t="s">
        <v>296</v>
      </c>
      <c r="C55" s="39">
        <v>54839</v>
      </c>
      <c r="D55" s="39">
        <v>18749</v>
      </c>
      <c r="E55" s="39">
        <v>73588</v>
      </c>
    </row>
    <row r="56" spans="1:5" ht="14.5" x14ac:dyDescent="0.35">
      <c r="A56" s="38" t="s">
        <v>933</v>
      </c>
      <c r="B56" s="38" t="s">
        <v>296</v>
      </c>
      <c r="C56" s="39">
        <v>81395</v>
      </c>
      <c r="D56" s="39">
        <v>176444</v>
      </c>
      <c r="E56" s="39">
        <v>257839</v>
      </c>
    </row>
    <row r="57" spans="1:5" ht="14.5" x14ac:dyDescent="0.35">
      <c r="A57" s="38" t="s">
        <v>934</v>
      </c>
      <c r="B57" s="38" t="s">
        <v>296</v>
      </c>
      <c r="C57" s="39">
        <v>530</v>
      </c>
      <c r="D57" s="39">
        <v>86323</v>
      </c>
      <c r="E57" s="39">
        <v>86853</v>
      </c>
    </row>
    <row r="58" spans="1:5" ht="14.5" x14ac:dyDescent="0.35">
      <c r="A58" s="38" t="s">
        <v>935</v>
      </c>
      <c r="B58" s="38" t="s">
        <v>296</v>
      </c>
      <c r="C58" s="39">
        <v>19290</v>
      </c>
      <c r="D58" s="39">
        <v>2600</v>
      </c>
      <c r="E58" s="39">
        <v>21890</v>
      </c>
    </row>
    <row r="59" spans="1:5" ht="14.5" x14ac:dyDescent="0.35">
      <c r="A59" s="38" t="s">
        <v>936</v>
      </c>
      <c r="B59" s="38" t="s">
        <v>296</v>
      </c>
      <c r="C59" s="39">
        <v>77274</v>
      </c>
      <c r="D59" s="39">
        <v>70931</v>
      </c>
      <c r="E59" s="39">
        <v>148205</v>
      </c>
    </row>
    <row r="60" spans="1:5" ht="14.5" x14ac:dyDescent="0.35">
      <c r="A60" s="38" t="s">
        <v>937</v>
      </c>
      <c r="B60" s="38" t="s">
        <v>296</v>
      </c>
      <c r="C60" s="39">
        <v>1089</v>
      </c>
      <c r="D60" s="39">
        <v>77136</v>
      </c>
      <c r="E60" s="39">
        <v>78225</v>
      </c>
    </row>
    <row r="61" spans="1:5" ht="14.5" x14ac:dyDescent="0.35">
      <c r="A61" s="38" t="s">
        <v>938</v>
      </c>
      <c r="B61" s="38" t="s">
        <v>296</v>
      </c>
      <c r="C61" s="39">
        <v>15461</v>
      </c>
      <c r="D61" s="39">
        <v>1499</v>
      </c>
      <c r="E61" s="39">
        <v>16960</v>
      </c>
    </row>
    <row r="62" spans="1:5" ht="14.5" x14ac:dyDescent="0.35">
      <c r="A62" s="38" t="s">
        <v>939</v>
      </c>
      <c r="B62" s="38" t="s">
        <v>296</v>
      </c>
      <c r="C62" s="39">
        <v>8183</v>
      </c>
      <c r="D62" s="39">
        <v>10918</v>
      </c>
      <c r="E62" s="39">
        <v>19101</v>
      </c>
    </row>
    <row r="63" spans="1:5" ht="14.5" x14ac:dyDescent="0.35">
      <c r="A63" s="38" t="s">
        <v>940</v>
      </c>
      <c r="B63" s="38" t="s">
        <v>296</v>
      </c>
      <c r="C63" s="39">
        <v>23535</v>
      </c>
      <c r="D63" s="39">
        <v>4525</v>
      </c>
      <c r="E63" s="39">
        <v>28060</v>
      </c>
    </row>
    <row r="64" spans="1:5" ht="14.5" x14ac:dyDescent="0.35">
      <c r="A64" s="38" t="s">
        <v>941</v>
      </c>
      <c r="B64" s="38" t="s">
        <v>296</v>
      </c>
      <c r="C64" s="39">
        <v>7304</v>
      </c>
      <c r="D64" s="39">
        <v>907</v>
      </c>
      <c r="E64" s="39">
        <v>8211</v>
      </c>
    </row>
    <row r="65" spans="1:5" ht="14.5" x14ac:dyDescent="0.35">
      <c r="A65" s="38" t="s">
        <v>942</v>
      </c>
      <c r="B65" s="38" t="s">
        <v>296</v>
      </c>
      <c r="C65" s="39">
        <v>27805</v>
      </c>
      <c r="D65" s="39">
        <v>6269</v>
      </c>
      <c r="E65" s="39">
        <v>34074</v>
      </c>
    </row>
    <row r="66" spans="1:5" ht="14.5" x14ac:dyDescent="0.35">
      <c r="A66" s="38" t="s">
        <v>943</v>
      </c>
      <c r="B66" s="38" t="s">
        <v>296</v>
      </c>
      <c r="C66" s="39">
        <v>29620</v>
      </c>
      <c r="D66" s="39">
        <v>12168</v>
      </c>
      <c r="E66" s="39">
        <v>41788</v>
      </c>
    </row>
    <row r="67" spans="1:5" ht="14.5" x14ac:dyDescent="0.35">
      <c r="A67" s="38" t="s">
        <v>944</v>
      </c>
      <c r="B67" s="38" t="s">
        <v>296</v>
      </c>
      <c r="C67" s="39">
        <v>13104</v>
      </c>
      <c r="D67" s="39">
        <v>30651</v>
      </c>
      <c r="E67" s="39">
        <v>43755</v>
      </c>
    </row>
    <row r="68" spans="1:5" ht="14.5" x14ac:dyDescent="0.35">
      <c r="A68" s="38" t="s">
        <v>945</v>
      </c>
      <c r="B68" s="38" t="s">
        <v>296</v>
      </c>
      <c r="C68" s="39">
        <v>98</v>
      </c>
      <c r="D68" s="39">
        <v>58012</v>
      </c>
      <c r="E68" s="39">
        <v>58110</v>
      </c>
    </row>
    <row r="69" spans="1:5" ht="14.5" x14ac:dyDescent="0.35">
      <c r="A69" s="38" t="s">
        <v>946</v>
      </c>
      <c r="B69" s="38" t="s">
        <v>296</v>
      </c>
      <c r="C69" s="39">
        <v>137526</v>
      </c>
      <c r="D69" s="39">
        <v>23487</v>
      </c>
      <c r="E69" s="39">
        <v>161013</v>
      </c>
    </row>
    <row r="70" spans="1:5" ht="14.5" x14ac:dyDescent="0.35">
      <c r="A70" s="38" t="s">
        <v>947</v>
      </c>
      <c r="B70" s="38" t="s">
        <v>296</v>
      </c>
      <c r="C70" s="39">
        <v>39177</v>
      </c>
      <c r="D70" s="39">
        <v>201918</v>
      </c>
      <c r="E70" s="39">
        <v>241095</v>
      </c>
    </row>
    <row r="71" spans="1:5" ht="14.5" x14ac:dyDescent="0.35">
      <c r="A71" s="38" t="s">
        <v>948</v>
      </c>
      <c r="B71" s="38" t="s">
        <v>296</v>
      </c>
      <c r="C71" s="39">
        <v>662</v>
      </c>
      <c r="D71" s="39">
        <v>146971</v>
      </c>
      <c r="E71" s="39">
        <v>147633</v>
      </c>
    </row>
    <row r="72" spans="1:5" ht="14.5" x14ac:dyDescent="0.35">
      <c r="A72" s="38" t="s">
        <v>949</v>
      </c>
      <c r="B72" s="38" t="s">
        <v>296</v>
      </c>
      <c r="C72" s="39">
        <v>28115</v>
      </c>
      <c r="D72" s="39">
        <v>3600</v>
      </c>
      <c r="E72" s="39">
        <v>31715</v>
      </c>
    </row>
    <row r="73" spans="1:5" ht="14.5" x14ac:dyDescent="0.35">
      <c r="A73" s="38" t="s">
        <v>950</v>
      </c>
      <c r="B73" s="38" t="s">
        <v>296</v>
      </c>
      <c r="C73" s="39">
        <v>44988</v>
      </c>
      <c r="D73" s="39">
        <v>19547</v>
      </c>
      <c r="E73" s="39">
        <v>64535</v>
      </c>
    </row>
    <row r="74" spans="1:5" ht="14.5" x14ac:dyDescent="0.35">
      <c r="A74" s="38" t="s">
        <v>951</v>
      </c>
      <c r="B74" s="38" t="s">
        <v>296</v>
      </c>
      <c r="C74" s="39">
        <v>25531</v>
      </c>
      <c r="D74" s="39">
        <v>56606</v>
      </c>
      <c r="E74" s="39">
        <v>82137</v>
      </c>
    </row>
    <row r="75" spans="1:5" ht="14.5" x14ac:dyDescent="0.35">
      <c r="A75" s="38" t="s">
        <v>952</v>
      </c>
      <c r="B75" s="38" t="s">
        <v>296</v>
      </c>
      <c r="C75" s="39">
        <v>3568</v>
      </c>
      <c r="D75" s="39">
        <v>88933</v>
      </c>
      <c r="E75" s="39">
        <v>92501</v>
      </c>
    </row>
    <row r="76" spans="1:5" ht="14.5" x14ac:dyDescent="0.35">
      <c r="A76" s="38" t="s">
        <v>953</v>
      </c>
      <c r="B76" s="38" t="s">
        <v>296</v>
      </c>
      <c r="C76" s="39">
        <v>7576</v>
      </c>
      <c r="D76" s="39">
        <v>1092</v>
      </c>
      <c r="E76" s="39">
        <v>8668</v>
      </c>
    </row>
    <row r="77" spans="1:5" ht="14.5" x14ac:dyDescent="0.35">
      <c r="A77" s="38" t="s">
        <v>954</v>
      </c>
      <c r="B77" s="38" t="s">
        <v>296</v>
      </c>
      <c r="C77" s="39">
        <v>4069</v>
      </c>
      <c r="D77" s="39">
        <v>4523</v>
      </c>
      <c r="E77" s="39">
        <v>8592</v>
      </c>
    </row>
    <row r="78" spans="1:5" ht="14.5" x14ac:dyDescent="0.35">
      <c r="A78" s="38" t="s">
        <v>955</v>
      </c>
      <c r="B78" s="38" t="s">
        <v>296</v>
      </c>
      <c r="C78" s="39">
        <v>25169</v>
      </c>
      <c r="D78" s="39">
        <v>2600</v>
      </c>
      <c r="E78" s="39">
        <v>27769</v>
      </c>
    </row>
    <row r="79" spans="1:5" ht="14.5" x14ac:dyDescent="0.35">
      <c r="A79" s="38" t="s">
        <v>956</v>
      </c>
      <c r="B79" s="38" t="s">
        <v>296</v>
      </c>
      <c r="C79" s="39">
        <v>21093</v>
      </c>
      <c r="D79" s="39">
        <v>5040</v>
      </c>
      <c r="E79" s="39">
        <v>26133</v>
      </c>
    </row>
    <row r="80" spans="1:5" ht="14.5" x14ac:dyDescent="0.35">
      <c r="A80" s="38" t="s">
        <v>957</v>
      </c>
      <c r="B80" s="38" t="s">
        <v>296</v>
      </c>
      <c r="C80" s="39">
        <v>390</v>
      </c>
      <c r="D80" s="39">
        <v>10026</v>
      </c>
      <c r="E80" s="39">
        <v>10416</v>
      </c>
    </row>
    <row r="81" spans="1:5" ht="14.5" x14ac:dyDescent="0.35">
      <c r="A81" s="38" t="s">
        <v>958</v>
      </c>
      <c r="B81" s="38" t="s">
        <v>296</v>
      </c>
      <c r="C81" s="39">
        <v>44660</v>
      </c>
      <c r="D81" s="39">
        <v>9119</v>
      </c>
      <c r="E81" s="39">
        <v>53779</v>
      </c>
    </row>
    <row r="82" spans="1:5" ht="14.5" x14ac:dyDescent="0.35">
      <c r="A82" s="38" t="s">
        <v>959</v>
      </c>
      <c r="B82" s="38" t="s">
        <v>296</v>
      </c>
      <c r="C82" s="39">
        <v>34810</v>
      </c>
      <c r="D82" s="39">
        <v>30999</v>
      </c>
      <c r="E82" s="39">
        <v>65809</v>
      </c>
    </row>
    <row r="83" spans="1:5" ht="14.5" x14ac:dyDescent="0.35">
      <c r="A83" s="38" t="s">
        <v>960</v>
      </c>
      <c r="B83" s="38" t="s">
        <v>296</v>
      </c>
      <c r="C83" s="39">
        <v>31795</v>
      </c>
      <c r="D83" s="39">
        <v>114728</v>
      </c>
      <c r="E83" s="39">
        <v>146523</v>
      </c>
    </row>
    <row r="84" spans="1:5" ht="14.5" x14ac:dyDescent="0.35">
      <c r="A84" s="38" t="s">
        <v>961</v>
      </c>
      <c r="B84" s="38" t="s">
        <v>296</v>
      </c>
      <c r="C84" s="39">
        <v>1021</v>
      </c>
      <c r="D84" s="39">
        <v>214362</v>
      </c>
      <c r="E84" s="39">
        <v>215383</v>
      </c>
    </row>
    <row r="85" spans="1:5" ht="14.5" x14ac:dyDescent="0.35">
      <c r="A85" s="38" t="s">
        <v>962</v>
      </c>
      <c r="B85" s="38" t="s">
        <v>296</v>
      </c>
      <c r="C85" s="39">
        <v>50274</v>
      </c>
      <c r="D85" s="39">
        <v>8163</v>
      </c>
      <c r="E85" s="39">
        <v>58437</v>
      </c>
    </row>
    <row r="86" spans="1:5" ht="14.5" x14ac:dyDescent="0.35">
      <c r="A86" s="38" t="s">
        <v>963</v>
      </c>
      <c r="B86" s="38" t="s">
        <v>296</v>
      </c>
      <c r="C86" s="39">
        <v>39803</v>
      </c>
      <c r="D86" s="39">
        <v>32854</v>
      </c>
      <c r="E86" s="39">
        <v>72657</v>
      </c>
    </row>
    <row r="87" spans="1:5" ht="14.5" x14ac:dyDescent="0.35">
      <c r="A87" s="38" t="s">
        <v>964</v>
      </c>
      <c r="B87" s="38" t="s">
        <v>296</v>
      </c>
      <c r="C87" s="39">
        <v>168</v>
      </c>
      <c r="D87" s="39">
        <v>111591</v>
      </c>
      <c r="E87" s="39">
        <v>111759</v>
      </c>
    </row>
    <row r="88" spans="1:5" ht="14.5" x14ac:dyDescent="0.35">
      <c r="A88" s="38" t="s">
        <v>965</v>
      </c>
      <c r="B88" s="38" t="s">
        <v>296</v>
      </c>
      <c r="C88" s="39">
        <v>19845</v>
      </c>
      <c r="D88" s="39">
        <v>8207</v>
      </c>
      <c r="E88" s="39">
        <v>28052</v>
      </c>
    </row>
    <row r="89" spans="1:5" ht="14.5" x14ac:dyDescent="0.35">
      <c r="A89" s="38" t="s">
        <v>966</v>
      </c>
      <c r="B89" s="38" t="s">
        <v>296</v>
      </c>
      <c r="C89" s="39">
        <v>8028</v>
      </c>
      <c r="D89" s="39">
        <v>35528</v>
      </c>
      <c r="E89" s="39">
        <v>43556</v>
      </c>
    </row>
    <row r="90" spans="1:5" ht="14.5" x14ac:dyDescent="0.35">
      <c r="A90" s="38" t="s">
        <v>967</v>
      </c>
      <c r="B90" s="38" t="s">
        <v>296</v>
      </c>
      <c r="C90" s="39">
        <v>462</v>
      </c>
      <c r="D90" s="39">
        <v>91073</v>
      </c>
      <c r="E90" s="39">
        <v>91535</v>
      </c>
    </row>
    <row r="91" spans="1:5" ht="14.5" x14ac:dyDescent="0.35">
      <c r="A91" s="38" t="s">
        <v>968</v>
      </c>
      <c r="B91" s="38" t="s">
        <v>296</v>
      </c>
      <c r="C91" s="39">
        <v>6879</v>
      </c>
      <c r="D91" s="39">
        <v>1122</v>
      </c>
      <c r="E91" s="39">
        <v>8001</v>
      </c>
    </row>
    <row r="92" spans="1:5" ht="14.5" x14ac:dyDescent="0.35">
      <c r="A92" s="38" t="s">
        <v>969</v>
      </c>
      <c r="B92" s="38" t="s">
        <v>296</v>
      </c>
      <c r="C92" s="39">
        <v>6391</v>
      </c>
      <c r="D92" s="39">
        <v>1814</v>
      </c>
      <c r="E92" s="39">
        <v>8205</v>
      </c>
    </row>
    <row r="93" spans="1:5" ht="14.5" x14ac:dyDescent="0.35">
      <c r="A93" s="38" t="s">
        <v>970</v>
      </c>
      <c r="B93" s="38" t="s">
        <v>296</v>
      </c>
      <c r="C93" s="39">
        <v>1338</v>
      </c>
      <c r="D93" s="39">
        <v>4233</v>
      </c>
      <c r="E93" s="39">
        <v>5571</v>
      </c>
    </row>
    <row r="94" spans="1:5" ht="14.5" x14ac:dyDescent="0.35">
      <c r="A94" s="38" t="s">
        <v>971</v>
      </c>
      <c r="B94" s="38" t="s">
        <v>296</v>
      </c>
      <c r="C94" s="39">
        <v>19426</v>
      </c>
      <c r="D94" s="39">
        <v>3183</v>
      </c>
      <c r="E94" s="39">
        <v>22609</v>
      </c>
    </row>
    <row r="95" spans="1:5" ht="14.5" x14ac:dyDescent="0.35">
      <c r="A95" s="38" t="s">
        <v>972</v>
      </c>
      <c r="B95" s="38" t="s">
        <v>296</v>
      </c>
      <c r="C95" s="39">
        <v>17603</v>
      </c>
      <c r="D95" s="39">
        <v>9059</v>
      </c>
      <c r="E95" s="39">
        <v>26662</v>
      </c>
    </row>
    <row r="96" spans="1:5" ht="14.5" x14ac:dyDescent="0.35">
      <c r="A96" s="38" t="s">
        <v>973</v>
      </c>
      <c r="B96" s="38" t="s">
        <v>296</v>
      </c>
      <c r="C96" s="39">
        <v>6241</v>
      </c>
      <c r="D96" s="39">
        <v>14964</v>
      </c>
      <c r="E96" s="39">
        <v>21205</v>
      </c>
    </row>
    <row r="97" spans="1:5" ht="14.5" x14ac:dyDescent="0.35">
      <c r="A97" s="38" t="s">
        <v>974</v>
      </c>
      <c r="B97" s="38" t="s">
        <v>296</v>
      </c>
      <c r="C97" s="39">
        <v>11609</v>
      </c>
      <c r="D97" s="39">
        <v>1876</v>
      </c>
      <c r="E97" s="39">
        <v>13485</v>
      </c>
    </row>
    <row r="98" spans="1:5" ht="14.5" x14ac:dyDescent="0.35">
      <c r="A98" s="38" t="s">
        <v>975</v>
      </c>
      <c r="B98" s="38" t="s">
        <v>296</v>
      </c>
      <c r="C98" s="39">
        <v>10361</v>
      </c>
      <c r="D98" s="39">
        <v>2560</v>
      </c>
      <c r="E98" s="39">
        <v>12921</v>
      </c>
    </row>
    <row r="99" spans="1:5" ht="14.5" x14ac:dyDescent="0.35">
      <c r="A99" s="38" t="s">
        <v>976</v>
      </c>
      <c r="B99" s="38" t="s">
        <v>296</v>
      </c>
      <c r="C99" s="39">
        <v>4933</v>
      </c>
      <c r="D99" s="39">
        <v>2065</v>
      </c>
      <c r="E99" s="39">
        <v>6998</v>
      </c>
    </row>
    <row r="100" spans="1:5" ht="14.5" x14ac:dyDescent="0.35">
      <c r="A100" s="38" t="s">
        <v>977</v>
      </c>
      <c r="B100" s="38" t="s">
        <v>296</v>
      </c>
      <c r="C100" s="39">
        <v>14770</v>
      </c>
      <c r="D100" s="39">
        <v>9872</v>
      </c>
      <c r="E100" s="39">
        <v>24642</v>
      </c>
    </row>
    <row r="101" spans="1:5" ht="14.5" x14ac:dyDescent="0.35">
      <c r="A101" s="38" t="s">
        <v>978</v>
      </c>
      <c r="B101" s="38" t="s">
        <v>296</v>
      </c>
      <c r="C101" s="39">
        <v>15213</v>
      </c>
      <c r="D101" s="39">
        <v>20988</v>
      </c>
      <c r="E101" s="39">
        <v>36201</v>
      </c>
    </row>
    <row r="102" spans="1:5" ht="14.5" x14ac:dyDescent="0.35">
      <c r="A102" s="38" t="s">
        <v>979</v>
      </c>
      <c r="B102" s="38" t="s">
        <v>296</v>
      </c>
      <c r="C102" s="39">
        <v>24300</v>
      </c>
      <c r="D102" s="39">
        <v>8583</v>
      </c>
      <c r="E102" s="39">
        <v>32883</v>
      </c>
    </row>
    <row r="103" spans="1:5" ht="14.5" x14ac:dyDescent="0.35">
      <c r="A103" s="38" t="s">
        <v>980</v>
      </c>
      <c r="B103" s="38" t="s">
        <v>296</v>
      </c>
      <c r="C103" s="39">
        <v>11404</v>
      </c>
      <c r="D103" s="39">
        <v>27152</v>
      </c>
      <c r="E103" s="39">
        <v>38556</v>
      </c>
    </row>
    <row r="104" spans="1:5" ht="14.5" x14ac:dyDescent="0.35">
      <c r="A104" s="38" t="s">
        <v>981</v>
      </c>
      <c r="B104" s="38" t="s">
        <v>296</v>
      </c>
      <c r="C104" s="39">
        <v>95</v>
      </c>
      <c r="D104" s="39">
        <v>40680</v>
      </c>
      <c r="E104" s="39">
        <v>40775</v>
      </c>
    </row>
    <row r="105" spans="1:5" ht="14.5" x14ac:dyDescent="0.35">
      <c r="A105" s="38" t="s">
        <v>982</v>
      </c>
      <c r="B105" s="38" t="s">
        <v>296</v>
      </c>
      <c r="C105" s="39">
        <v>34688</v>
      </c>
      <c r="D105" s="39">
        <v>8393</v>
      </c>
      <c r="E105" s="39">
        <v>43081</v>
      </c>
    </row>
    <row r="106" spans="1:5" ht="14.5" x14ac:dyDescent="0.35">
      <c r="A106" s="38" t="s">
        <v>983</v>
      </c>
      <c r="B106" s="38" t="s">
        <v>296</v>
      </c>
      <c r="C106" s="39">
        <v>6531</v>
      </c>
      <c r="D106" s="39">
        <v>40363</v>
      </c>
      <c r="E106" s="39">
        <v>46894</v>
      </c>
    </row>
    <row r="107" spans="1:5" ht="14.5" x14ac:dyDescent="0.35">
      <c r="A107" s="38" t="s">
        <v>984</v>
      </c>
      <c r="B107" s="38" t="s">
        <v>296</v>
      </c>
      <c r="C107" s="39">
        <v>8717</v>
      </c>
      <c r="D107" s="39">
        <v>9713</v>
      </c>
      <c r="E107" s="39">
        <v>18430</v>
      </c>
    </row>
    <row r="108" spans="1:5" ht="14.5" x14ac:dyDescent="0.35">
      <c r="A108" s="38" t="s">
        <v>985</v>
      </c>
      <c r="B108" s="38" t="s">
        <v>296</v>
      </c>
      <c r="C108" s="39">
        <v>2201</v>
      </c>
      <c r="D108" s="39">
        <v>20043</v>
      </c>
      <c r="E108" s="39">
        <v>22244</v>
      </c>
    </row>
    <row r="109" spans="1:5" ht="14.5" x14ac:dyDescent="0.35">
      <c r="A109" s="38" t="s">
        <v>986</v>
      </c>
      <c r="B109" s="38" t="s">
        <v>296</v>
      </c>
      <c r="C109" s="39">
        <v>19067</v>
      </c>
      <c r="D109" s="39">
        <v>8879</v>
      </c>
      <c r="E109" s="39">
        <v>27946</v>
      </c>
    </row>
    <row r="110" spans="1:5" ht="14.5" x14ac:dyDescent="0.35">
      <c r="A110" s="38" t="s">
        <v>987</v>
      </c>
      <c r="B110" s="38" t="s">
        <v>296</v>
      </c>
      <c r="C110" s="39">
        <v>5196</v>
      </c>
      <c r="D110" s="39">
        <v>61175</v>
      </c>
      <c r="E110" s="39">
        <v>66371</v>
      </c>
    </row>
    <row r="111" spans="1:5" ht="14.5" x14ac:dyDescent="0.35">
      <c r="A111" s="38" t="s">
        <v>988</v>
      </c>
      <c r="B111" s="38" t="s">
        <v>296</v>
      </c>
      <c r="C111" s="39">
        <v>5348</v>
      </c>
      <c r="D111" s="39">
        <v>2189</v>
      </c>
      <c r="E111" s="39">
        <v>7537</v>
      </c>
    </row>
    <row r="112" spans="1:5" ht="14.5" x14ac:dyDescent="0.35">
      <c r="A112" s="38" t="s">
        <v>989</v>
      </c>
      <c r="B112" s="38" t="s">
        <v>296</v>
      </c>
      <c r="C112" s="39">
        <v>1054</v>
      </c>
      <c r="D112" s="39">
        <v>14375</v>
      </c>
      <c r="E112" s="39">
        <v>15429</v>
      </c>
    </row>
    <row r="113" spans="1:5" ht="14.5" x14ac:dyDescent="0.35">
      <c r="A113" s="38" t="s">
        <v>990</v>
      </c>
      <c r="B113" s="38" t="s">
        <v>296</v>
      </c>
      <c r="C113" s="39">
        <v>13068</v>
      </c>
      <c r="D113" s="39">
        <v>15385</v>
      </c>
      <c r="E113" s="39">
        <v>28453</v>
      </c>
    </row>
    <row r="114" spans="1:5" ht="14.5" x14ac:dyDescent="0.35">
      <c r="A114" s="38" t="s">
        <v>991</v>
      </c>
      <c r="B114" s="38" t="s">
        <v>296</v>
      </c>
      <c r="C114" s="39">
        <v>11850</v>
      </c>
      <c r="D114" s="39">
        <v>40622</v>
      </c>
      <c r="E114" s="39">
        <v>52472</v>
      </c>
    </row>
    <row r="115" spans="1:5" ht="14.5" x14ac:dyDescent="0.35">
      <c r="A115" s="38" t="s">
        <v>992</v>
      </c>
      <c r="B115" s="38" t="s">
        <v>296</v>
      </c>
      <c r="C115" s="39">
        <v>2789</v>
      </c>
      <c r="D115" s="39">
        <v>4803</v>
      </c>
      <c r="E115" s="39">
        <v>7592</v>
      </c>
    </row>
    <row r="116" spans="1:5" ht="14.5" x14ac:dyDescent="0.35">
      <c r="A116" s="38" t="s">
        <v>993</v>
      </c>
      <c r="B116" s="38" t="s">
        <v>296</v>
      </c>
      <c r="C116" s="39">
        <v>7084</v>
      </c>
      <c r="D116" s="39">
        <v>1031</v>
      </c>
      <c r="E116" s="39">
        <v>8115</v>
      </c>
    </row>
    <row r="117" spans="1:5" ht="14.5" x14ac:dyDescent="0.35">
      <c r="A117" s="38" t="s">
        <v>994</v>
      </c>
      <c r="B117" s="38" t="s">
        <v>296</v>
      </c>
      <c r="C117" s="39">
        <v>2143</v>
      </c>
      <c r="D117" s="39">
        <v>6596</v>
      </c>
      <c r="E117" s="39">
        <v>8739</v>
      </c>
    </row>
    <row r="118" spans="1:5" ht="14.5" x14ac:dyDescent="0.35">
      <c r="A118" s="38" t="s">
        <v>995</v>
      </c>
      <c r="B118" s="38" t="s">
        <v>296</v>
      </c>
      <c r="C118" s="39">
        <v>21534</v>
      </c>
      <c r="D118" s="39">
        <v>8363</v>
      </c>
      <c r="E118" s="39">
        <v>29897</v>
      </c>
    </row>
    <row r="119" spans="1:5" ht="14.5" x14ac:dyDescent="0.35">
      <c r="A119" s="38" t="s">
        <v>996</v>
      </c>
      <c r="B119" s="38" t="s">
        <v>296</v>
      </c>
      <c r="C119" s="39">
        <v>1885</v>
      </c>
      <c r="D119" s="39">
        <v>289</v>
      </c>
      <c r="E119" s="39">
        <v>2174</v>
      </c>
    </row>
    <row r="120" spans="1:5" ht="14.5" x14ac:dyDescent="0.35">
      <c r="A120" s="38" t="s">
        <v>997</v>
      </c>
      <c r="B120" s="38" t="s">
        <v>296</v>
      </c>
      <c r="C120" s="39">
        <v>684</v>
      </c>
      <c r="D120" s="39">
        <v>2090</v>
      </c>
      <c r="E120" s="39">
        <v>2774</v>
      </c>
    </row>
    <row r="121" spans="1:5" ht="14.5" x14ac:dyDescent="0.35">
      <c r="A121" s="38" t="s">
        <v>998</v>
      </c>
      <c r="B121" s="38" t="s">
        <v>296</v>
      </c>
      <c r="C121" s="39">
        <v>3286</v>
      </c>
      <c r="D121" s="39">
        <v>1029</v>
      </c>
      <c r="E121" s="39">
        <v>4315</v>
      </c>
    </row>
    <row r="122" spans="1:5" ht="14.5" x14ac:dyDescent="0.35">
      <c r="A122" s="38" t="s">
        <v>999</v>
      </c>
      <c r="B122" s="38" t="s">
        <v>296</v>
      </c>
      <c r="C122" s="39">
        <v>15791</v>
      </c>
      <c r="D122" s="39">
        <v>4600</v>
      </c>
      <c r="E122" s="39">
        <v>20391</v>
      </c>
    </row>
    <row r="123" spans="1:5" ht="14.5" x14ac:dyDescent="0.35">
      <c r="A123" s="38" t="s">
        <v>1000</v>
      </c>
      <c r="B123" s="38" t="s">
        <v>296</v>
      </c>
      <c r="C123" s="39">
        <v>229</v>
      </c>
      <c r="D123" s="39">
        <v>2999</v>
      </c>
      <c r="E123" s="39">
        <v>3228</v>
      </c>
    </row>
    <row r="124" spans="1:5" ht="14.5" x14ac:dyDescent="0.35">
      <c r="A124" s="38" t="s">
        <v>1001</v>
      </c>
      <c r="B124" s="38" t="s">
        <v>296</v>
      </c>
      <c r="C124" s="39">
        <v>36178</v>
      </c>
      <c r="D124" s="39">
        <v>5235</v>
      </c>
      <c r="E124" s="39">
        <v>41413</v>
      </c>
    </row>
    <row r="125" spans="1:5" ht="14.5" x14ac:dyDescent="0.35">
      <c r="A125" s="38" t="s">
        <v>1002</v>
      </c>
      <c r="B125" s="38" t="s">
        <v>296</v>
      </c>
      <c r="C125" s="39">
        <v>16408</v>
      </c>
      <c r="D125" s="39">
        <v>9889</v>
      </c>
      <c r="E125" s="39">
        <v>26297</v>
      </c>
    </row>
    <row r="126" spans="1:5" ht="14.5" x14ac:dyDescent="0.35">
      <c r="A126" s="38" t="s">
        <v>1003</v>
      </c>
      <c r="B126" s="38" t="s">
        <v>296</v>
      </c>
      <c r="C126" s="39">
        <v>17394</v>
      </c>
      <c r="D126" s="39">
        <v>39492</v>
      </c>
      <c r="E126" s="39">
        <v>56886</v>
      </c>
    </row>
    <row r="127" spans="1:5" ht="14.5" x14ac:dyDescent="0.35">
      <c r="A127" s="38" t="s">
        <v>1004</v>
      </c>
      <c r="B127" s="38" t="s">
        <v>296</v>
      </c>
      <c r="C127" s="39">
        <v>2239</v>
      </c>
      <c r="D127" s="39">
        <v>109614</v>
      </c>
      <c r="E127" s="39">
        <v>111853</v>
      </c>
    </row>
    <row r="128" spans="1:5" ht="14.5" x14ac:dyDescent="0.35">
      <c r="A128" s="38" t="s">
        <v>1005</v>
      </c>
      <c r="B128" s="38" t="s">
        <v>296</v>
      </c>
      <c r="C128" s="39">
        <v>16558</v>
      </c>
      <c r="D128" s="39">
        <v>1413</v>
      </c>
      <c r="E128" s="39">
        <v>17971</v>
      </c>
    </row>
    <row r="129" spans="1:5" ht="14.5" x14ac:dyDescent="0.35">
      <c r="A129" s="38" t="s">
        <v>1006</v>
      </c>
      <c r="B129" s="38" t="s">
        <v>296</v>
      </c>
      <c r="C129" s="39">
        <v>21316</v>
      </c>
      <c r="D129" s="39">
        <v>13113</v>
      </c>
      <c r="E129" s="39">
        <v>34429</v>
      </c>
    </row>
    <row r="130" spans="1:5" ht="14.5" x14ac:dyDescent="0.35">
      <c r="A130" s="38" t="s">
        <v>1007</v>
      </c>
      <c r="B130" s="38" t="s">
        <v>296</v>
      </c>
      <c r="C130" s="39">
        <v>2480</v>
      </c>
      <c r="D130" s="39">
        <v>26804</v>
      </c>
      <c r="E130" s="39">
        <v>29284</v>
      </c>
    </row>
    <row r="131" spans="1:5" ht="14.5" x14ac:dyDescent="0.35">
      <c r="A131" s="38" t="s">
        <v>1008</v>
      </c>
      <c r="B131" s="38" t="s">
        <v>296</v>
      </c>
      <c r="C131" s="39">
        <v>5598</v>
      </c>
      <c r="D131" s="39">
        <v>1328</v>
      </c>
      <c r="E131" s="39">
        <v>6926</v>
      </c>
    </row>
    <row r="132" spans="1:5" ht="14.5" x14ac:dyDescent="0.35">
      <c r="A132" s="38" t="s">
        <v>1009</v>
      </c>
      <c r="B132" s="38" t="s">
        <v>296</v>
      </c>
      <c r="C132" s="39">
        <v>1688</v>
      </c>
      <c r="D132" s="39">
        <v>16464</v>
      </c>
      <c r="E132" s="39">
        <v>18152</v>
      </c>
    </row>
    <row r="133" spans="1:5" ht="14.5" x14ac:dyDescent="0.35">
      <c r="A133" s="38" t="s">
        <v>1010</v>
      </c>
      <c r="B133" s="38" t="s">
        <v>296</v>
      </c>
      <c r="C133" s="39">
        <v>20999</v>
      </c>
      <c r="D133" s="39">
        <v>14707</v>
      </c>
      <c r="E133" s="39">
        <v>35706</v>
      </c>
    </row>
    <row r="134" spans="1:5" ht="14.5" x14ac:dyDescent="0.35">
      <c r="A134" s="38" t="s">
        <v>1011</v>
      </c>
      <c r="B134" s="38" t="s">
        <v>296</v>
      </c>
      <c r="C134" s="39">
        <v>7792</v>
      </c>
      <c r="D134" s="39">
        <v>30750</v>
      </c>
      <c r="E134" s="39">
        <v>38542</v>
      </c>
    </row>
    <row r="135" spans="1:5" ht="14.5" x14ac:dyDescent="0.35">
      <c r="A135" s="38" t="s">
        <v>1012</v>
      </c>
      <c r="B135" s="38" t="s">
        <v>296</v>
      </c>
      <c r="C135" s="39">
        <v>2082</v>
      </c>
      <c r="D135" s="39">
        <v>18642</v>
      </c>
      <c r="E135" s="39">
        <v>20724</v>
      </c>
    </row>
    <row r="136" spans="1:5" ht="14.5" x14ac:dyDescent="0.35">
      <c r="A136" s="38" t="s">
        <v>1013</v>
      </c>
      <c r="B136" s="38" t="s">
        <v>296</v>
      </c>
      <c r="C136" s="39">
        <v>17540</v>
      </c>
      <c r="D136" s="39">
        <v>6438</v>
      </c>
      <c r="E136" s="39">
        <v>23978</v>
      </c>
    </row>
    <row r="137" spans="1:5" ht="14.5" x14ac:dyDescent="0.35">
      <c r="A137" s="38" t="s">
        <v>1014</v>
      </c>
      <c r="B137" s="38" t="s">
        <v>296</v>
      </c>
      <c r="C137" s="39">
        <v>12658</v>
      </c>
      <c r="D137" s="39">
        <v>8969</v>
      </c>
      <c r="E137" s="39">
        <v>21627</v>
      </c>
    </row>
    <row r="138" spans="1:5" ht="14.5" x14ac:dyDescent="0.35">
      <c r="A138" s="38" t="s">
        <v>1015</v>
      </c>
      <c r="B138" s="38" t="s">
        <v>296</v>
      </c>
      <c r="C138" s="39">
        <v>1180</v>
      </c>
      <c r="D138" s="39">
        <v>10825</v>
      </c>
      <c r="E138" s="39">
        <v>12005</v>
      </c>
    </row>
    <row r="139" spans="1:5" ht="14.5" x14ac:dyDescent="0.35">
      <c r="A139" s="38" t="s">
        <v>1016</v>
      </c>
      <c r="B139" s="38" t="s">
        <v>296</v>
      </c>
      <c r="C139" s="39">
        <v>49616</v>
      </c>
      <c r="D139" s="39">
        <v>48822</v>
      </c>
      <c r="E139" s="39">
        <v>98438</v>
      </c>
    </row>
    <row r="140" spans="1:5" ht="14.5" x14ac:dyDescent="0.35">
      <c r="A140" s="38" t="s">
        <v>1017</v>
      </c>
      <c r="B140" s="38" t="s">
        <v>296</v>
      </c>
      <c r="C140" s="39">
        <v>16809</v>
      </c>
      <c r="D140" s="39">
        <v>60964</v>
      </c>
      <c r="E140" s="39">
        <v>77773</v>
      </c>
    </row>
    <row r="141" spans="1:5" ht="14.5" x14ac:dyDescent="0.35">
      <c r="A141" s="38" t="s">
        <v>1018</v>
      </c>
      <c r="B141" s="38" t="s">
        <v>296</v>
      </c>
      <c r="C141" s="39">
        <v>797</v>
      </c>
      <c r="D141" s="39">
        <v>55590</v>
      </c>
      <c r="E141" s="39">
        <v>56387</v>
      </c>
    </row>
    <row r="142" spans="1:5" ht="14.5" x14ac:dyDescent="0.35">
      <c r="A142" s="38" t="s">
        <v>1019</v>
      </c>
      <c r="B142" s="38" t="s">
        <v>296</v>
      </c>
      <c r="C142" s="39">
        <v>11643</v>
      </c>
      <c r="D142" s="39">
        <v>1375</v>
      </c>
      <c r="E142" s="39">
        <v>13018</v>
      </c>
    </row>
    <row r="143" spans="1:5" ht="14.5" x14ac:dyDescent="0.35">
      <c r="A143" s="38" t="s">
        <v>1020</v>
      </c>
      <c r="B143" s="38" t="s">
        <v>296</v>
      </c>
      <c r="C143" s="39">
        <v>19440</v>
      </c>
      <c r="D143" s="39">
        <v>5449</v>
      </c>
      <c r="E143" s="39">
        <v>24889</v>
      </c>
    </row>
    <row r="144" spans="1:5" ht="14.5" x14ac:dyDescent="0.35">
      <c r="A144" s="38" t="s">
        <v>1021</v>
      </c>
      <c r="B144" s="38" t="s">
        <v>296</v>
      </c>
      <c r="C144" s="39">
        <v>6513</v>
      </c>
      <c r="D144" s="39">
        <v>9220</v>
      </c>
      <c r="E144" s="39">
        <v>15733</v>
      </c>
    </row>
    <row r="145" spans="1:5" ht="14.5" x14ac:dyDescent="0.35">
      <c r="A145" s="38" t="s">
        <v>1022</v>
      </c>
      <c r="B145" s="38" t="s">
        <v>296</v>
      </c>
      <c r="C145" s="39">
        <v>491</v>
      </c>
      <c r="D145" s="39">
        <v>17851</v>
      </c>
      <c r="E145" s="39">
        <v>18342</v>
      </c>
    </row>
    <row r="146" spans="1:5" ht="14.5" x14ac:dyDescent="0.35">
      <c r="A146" s="38" t="s">
        <v>1023</v>
      </c>
      <c r="B146" s="38" t="s">
        <v>296</v>
      </c>
      <c r="C146" s="39">
        <v>18811</v>
      </c>
      <c r="D146" s="39">
        <v>1291</v>
      </c>
      <c r="E146" s="39">
        <v>20102</v>
      </c>
    </row>
    <row r="147" spans="1:5" ht="14.5" x14ac:dyDescent="0.35">
      <c r="A147" s="38" t="s">
        <v>1024</v>
      </c>
      <c r="B147" s="38" t="s">
        <v>296</v>
      </c>
      <c r="C147" s="39">
        <v>8703</v>
      </c>
      <c r="D147" s="39">
        <v>3271</v>
      </c>
      <c r="E147" s="39">
        <v>11974</v>
      </c>
    </row>
    <row r="148" spans="1:5" ht="14.5" x14ac:dyDescent="0.35">
      <c r="A148" s="38" t="s">
        <v>1025</v>
      </c>
      <c r="B148" s="38" t="s">
        <v>296</v>
      </c>
      <c r="C148" s="39">
        <v>37538</v>
      </c>
      <c r="D148" s="39">
        <v>5127</v>
      </c>
      <c r="E148" s="39">
        <v>42665</v>
      </c>
    </row>
    <row r="149" spans="1:5" ht="14.5" x14ac:dyDescent="0.35">
      <c r="A149" s="38" t="s">
        <v>1026</v>
      </c>
      <c r="B149" s="38" t="s">
        <v>296</v>
      </c>
      <c r="C149" s="39">
        <v>42724</v>
      </c>
      <c r="D149" s="39">
        <v>135358</v>
      </c>
      <c r="E149" s="39">
        <v>178082</v>
      </c>
    </row>
    <row r="150" spans="1:5" ht="14.5" x14ac:dyDescent="0.35">
      <c r="A150" s="38" t="s">
        <v>1027</v>
      </c>
      <c r="B150" s="38" t="s">
        <v>296</v>
      </c>
      <c r="C150" s="39">
        <v>565</v>
      </c>
      <c r="D150" s="39">
        <v>269225</v>
      </c>
      <c r="E150" s="39">
        <v>269790</v>
      </c>
    </row>
    <row r="151" spans="1:5" ht="14.5" x14ac:dyDescent="0.35">
      <c r="A151" s="38" t="s">
        <v>1028</v>
      </c>
      <c r="B151" s="38" t="s">
        <v>296</v>
      </c>
      <c r="C151" s="39">
        <v>34820</v>
      </c>
      <c r="D151" s="39">
        <v>9547</v>
      </c>
      <c r="E151" s="39">
        <v>44367</v>
      </c>
    </row>
    <row r="152" spans="1:5" ht="14.5" x14ac:dyDescent="0.35">
      <c r="A152" s="38" t="s">
        <v>1029</v>
      </c>
      <c r="B152" s="38" t="s">
        <v>296</v>
      </c>
      <c r="C152" s="39">
        <v>20895</v>
      </c>
      <c r="D152" s="39">
        <v>43841</v>
      </c>
      <c r="E152" s="39">
        <v>64736</v>
      </c>
    </row>
    <row r="153" spans="1:5" ht="14.5" x14ac:dyDescent="0.35">
      <c r="A153" s="38" t="s">
        <v>1030</v>
      </c>
      <c r="B153" s="38" t="s">
        <v>296</v>
      </c>
      <c r="C153" s="39">
        <v>26281</v>
      </c>
      <c r="D153" s="39">
        <v>100210</v>
      </c>
      <c r="E153" s="39">
        <v>126491</v>
      </c>
    </row>
    <row r="154" spans="1:5" ht="14.5" x14ac:dyDescent="0.35">
      <c r="A154" s="38" t="s">
        <v>1031</v>
      </c>
      <c r="B154" s="38" t="s">
        <v>296</v>
      </c>
      <c r="C154" s="39">
        <v>2669</v>
      </c>
      <c r="D154" s="39">
        <v>323231</v>
      </c>
      <c r="E154" s="39">
        <v>325900</v>
      </c>
    </row>
    <row r="155" spans="1:5" ht="14.5" x14ac:dyDescent="0.35">
      <c r="A155" s="38" t="s">
        <v>1032</v>
      </c>
      <c r="B155" s="38" t="s">
        <v>296</v>
      </c>
      <c r="C155" s="39">
        <v>24924</v>
      </c>
      <c r="D155" s="39">
        <v>8402</v>
      </c>
      <c r="E155" s="39">
        <v>33326</v>
      </c>
    </row>
    <row r="156" spans="1:5" ht="14.5" x14ac:dyDescent="0.35">
      <c r="A156" s="38" t="s">
        <v>1033</v>
      </c>
      <c r="B156" s="38" t="s">
        <v>296</v>
      </c>
      <c r="C156" s="39">
        <v>30540</v>
      </c>
      <c r="D156" s="39">
        <v>109069</v>
      </c>
      <c r="E156" s="39">
        <v>139609</v>
      </c>
    </row>
    <row r="157" spans="1:5" ht="14.5" x14ac:dyDescent="0.35">
      <c r="A157" s="38" t="s">
        <v>1034</v>
      </c>
      <c r="B157" s="38" t="s">
        <v>296</v>
      </c>
      <c r="C157" s="39">
        <v>3860</v>
      </c>
      <c r="D157" s="39">
        <v>284647</v>
      </c>
      <c r="E157" s="39">
        <v>288507</v>
      </c>
    </row>
    <row r="158" spans="1:5" ht="14.5" x14ac:dyDescent="0.35">
      <c r="A158" s="38" t="s">
        <v>1035</v>
      </c>
      <c r="B158" s="38" t="s">
        <v>296</v>
      </c>
      <c r="C158" s="39">
        <v>918</v>
      </c>
      <c r="D158" s="39">
        <v>223</v>
      </c>
      <c r="E158" s="39">
        <v>1141</v>
      </c>
    </row>
    <row r="159" spans="1:5" ht="14.5" x14ac:dyDescent="0.35">
      <c r="A159" s="38" t="s">
        <v>1036</v>
      </c>
      <c r="B159" s="38" t="s">
        <v>296</v>
      </c>
      <c r="C159" s="39">
        <v>1278</v>
      </c>
      <c r="D159" s="39">
        <v>2052</v>
      </c>
      <c r="E159" s="39">
        <v>3330</v>
      </c>
    </row>
    <row r="160" spans="1:5" ht="14.5" x14ac:dyDescent="0.35">
      <c r="A160" s="38" t="s">
        <v>1037</v>
      </c>
      <c r="B160" s="38" t="s">
        <v>296</v>
      </c>
      <c r="C160" s="39">
        <v>1704</v>
      </c>
      <c r="D160" s="39">
        <v>26783</v>
      </c>
      <c r="E160" s="39">
        <v>28487</v>
      </c>
    </row>
    <row r="161" spans="1:5" ht="14.5" x14ac:dyDescent="0.35">
      <c r="A161" s="38" t="s">
        <v>1038</v>
      </c>
      <c r="B161" s="38" t="s">
        <v>296</v>
      </c>
      <c r="C161" s="39">
        <v>12086</v>
      </c>
      <c r="D161" s="39">
        <v>10205</v>
      </c>
      <c r="E161" s="39">
        <v>22291</v>
      </c>
    </row>
    <row r="162" spans="1:5" ht="14.5" x14ac:dyDescent="0.35">
      <c r="A162" s="38" t="s">
        <v>1039</v>
      </c>
      <c r="B162" s="38" t="s">
        <v>296</v>
      </c>
      <c r="C162" s="39">
        <v>12713</v>
      </c>
      <c r="D162" s="39">
        <v>14189</v>
      </c>
      <c r="E162" s="39">
        <v>26902</v>
      </c>
    </row>
    <row r="163" spans="1:5" ht="14.5" x14ac:dyDescent="0.35">
      <c r="A163" s="38" t="s">
        <v>1040</v>
      </c>
      <c r="B163" s="38" t="s">
        <v>296</v>
      </c>
      <c r="C163" s="39">
        <v>795</v>
      </c>
      <c r="D163" s="39">
        <v>21135</v>
      </c>
      <c r="E163" s="39">
        <v>21930</v>
      </c>
    </row>
    <row r="164" spans="1:5" ht="14.5" x14ac:dyDescent="0.35">
      <c r="A164" s="38" t="s">
        <v>1041</v>
      </c>
      <c r="B164" s="38" t="s">
        <v>296</v>
      </c>
      <c r="C164" s="39">
        <v>15561</v>
      </c>
      <c r="D164" s="39">
        <v>6965</v>
      </c>
      <c r="E164" s="39">
        <v>22526</v>
      </c>
    </row>
    <row r="165" spans="1:5" ht="14.5" x14ac:dyDescent="0.35">
      <c r="A165" s="38" t="s">
        <v>1042</v>
      </c>
      <c r="B165" s="38" t="s">
        <v>296</v>
      </c>
      <c r="C165" s="39">
        <v>2461</v>
      </c>
      <c r="D165" s="39">
        <v>32024</v>
      </c>
      <c r="E165" s="39">
        <v>34485</v>
      </c>
    </row>
    <row r="166" spans="1:5" ht="14.5" x14ac:dyDescent="0.35">
      <c r="A166" s="38" t="s">
        <v>1043</v>
      </c>
      <c r="B166" s="38" t="s">
        <v>296</v>
      </c>
      <c r="C166" s="39">
        <v>23722</v>
      </c>
      <c r="D166" s="39">
        <v>8760</v>
      </c>
      <c r="E166" s="39">
        <v>32482</v>
      </c>
    </row>
    <row r="167" spans="1:5" ht="14.5" x14ac:dyDescent="0.35">
      <c r="A167" s="38" t="s">
        <v>1044</v>
      </c>
      <c r="B167" s="38" t="s">
        <v>296</v>
      </c>
      <c r="C167" s="39">
        <v>5917</v>
      </c>
      <c r="D167" s="39">
        <v>55247</v>
      </c>
      <c r="E167" s="39">
        <v>61164</v>
      </c>
    </row>
    <row r="168" spans="1:5" ht="14.5" x14ac:dyDescent="0.35">
      <c r="A168" s="38" t="s">
        <v>1045</v>
      </c>
      <c r="B168" s="38" t="s">
        <v>296</v>
      </c>
      <c r="C168" s="39">
        <v>4311</v>
      </c>
      <c r="D168" s="39">
        <v>4784</v>
      </c>
      <c r="E168" s="39">
        <v>9095</v>
      </c>
    </row>
    <row r="169" spans="1:5" ht="14.5" x14ac:dyDescent="0.35">
      <c r="A169" s="38" t="s">
        <v>1046</v>
      </c>
      <c r="B169" s="38" t="s">
        <v>296</v>
      </c>
      <c r="C169" s="39">
        <v>613</v>
      </c>
      <c r="D169" s="39">
        <v>12542</v>
      </c>
      <c r="E169" s="39">
        <v>13155</v>
      </c>
    </row>
    <row r="170" spans="1:5" ht="14.5" x14ac:dyDescent="0.35">
      <c r="A170" s="38" t="s">
        <v>1047</v>
      </c>
      <c r="B170" s="38" t="s">
        <v>296</v>
      </c>
      <c r="C170" s="39">
        <v>29628</v>
      </c>
      <c r="D170" s="39">
        <v>4521</v>
      </c>
      <c r="E170" s="39">
        <v>34149</v>
      </c>
    </row>
    <row r="171" spans="1:5" ht="14.5" x14ac:dyDescent="0.35">
      <c r="A171" s="38" t="s">
        <v>1048</v>
      </c>
      <c r="B171" s="38" t="s">
        <v>296</v>
      </c>
      <c r="C171" s="39">
        <v>46940</v>
      </c>
      <c r="D171" s="39">
        <v>41101</v>
      </c>
      <c r="E171" s="39">
        <v>88041</v>
      </c>
    </row>
    <row r="172" spans="1:5" ht="14.5" x14ac:dyDescent="0.35">
      <c r="A172" s="38" t="s">
        <v>1049</v>
      </c>
      <c r="B172" s="38" t="s">
        <v>296</v>
      </c>
      <c r="C172" s="39">
        <v>10437</v>
      </c>
      <c r="D172" s="39">
        <v>200913</v>
      </c>
      <c r="E172" s="39">
        <v>211350</v>
      </c>
    </row>
    <row r="173" spans="1:5" ht="14.5" x14ac:dyDescent="0.35">
      <c r="A173" s="38" t="s">
        <v>1050</v>
      </c>
      <c r="B173" s="38" t="s">
        <v>296</v>
      </c>
      <c r="C173" s="39">
        <v>8010</v>
      </c>
      <c r="D173" s="39">
        <v>11948</v>
      </c>
      <c r="E173" s="39">
        <v>19958</v>
      </c>
    </row>
    <row r="174" spans="1:5" ht="14.5" x14ac:dyDescent="0.35">
      <c r="A174" s="38" t="s">
        <v>1051</v>
      </c>
      <c r="B174" s="38" t="s">
        <v>296</v>
      </c>
      <c r="C174" s="39">
        <v>2946</v>
      </c>
      <c r="D174" s="39">
        <v>14511</v>
      </c>
      <c r="E174" s="39">
        <v>17457</v>
      </c>
    </row>
    <row r="175" spans="1:5" ht="14.5" x14ac:dyDescent="0.35">
      <c r="A175" s="38" t="s">
        <v>1052</v>
      </c>
      <c r="B175" s="38" t="s">
        <v>296</v>
      </c>
      <c r="C175" s="39">
        <v>64</v>
      </c>
      <c r="D175" s="39">
        <v>13755</v>
      </c>
      <c r="E175" s="39">
        <v>13819</v>
      </c>
    </row>
    <row r="176" spans="1:5" ht="14.5" x14ac:dyDescent="0.35">
      <c r="A176" s="38" t="s">
        <v>1053</v>
      </c>
      <c r="B176" s="38" t="s">
        <v>296</v>
      </c>
      <c r="C176" s="39">
        <v>2359</v>
      </c>
      <c r="D176" s="39">
        <v>3886</v>
      </c>
      <c r="E176" s="39">
        <v>6245</v>
      </c>
    </row>
    <row r="177" spans="1:5" ht="14.5" x14ac:dyDescent="0.35">
      <c r="A177" s="38" t="s">
        <v>1054</v>
      </c>
      <c r="B177" s="38" t="s">
        <v>296</v>
      </c>
      <c r="C177" s="39">
        <v>2037</v>
      </c>
      <c r="D177" s="39">
        <v>6895</v>
      </c>
      <c r="E177" s="39">
        <v>8932</v>
      </c>
    </row>
    <row r="178" spans="1:5" ht="14.5" x14ac:dyDescent="0.35">
      <c r="A178" s="38" t="s">
        <v>1055</v>
      </c>
      <c r="B178" s="38" t="s">
        <v>296</v>
      </c>
      <c r="C178" s="39">
        <v>5720</v>
      </c>
      <c r="D178" s="39">
        <v>5331</v>
      </c>
      <c r="E178" s="39">
        <v>11051</v>
      </c>
    </row>
    <row r="179" spans="1:5" ht="14.5" x14ac:dyDescent="0.35">
      <c r="A179" s="38" t="s">
        <v>1056</v>
      </c>
      <c r="B179" s="38" t="s">
        <v>296</v>
      </c>
      <c r="C179" s="39">
        <v>6284</v>
      </c>
      <c r="D179" s="39">
        <v>100308</v>
      </c>
      <c r="E179" s="39">
        <v>106592</v>
      </c>
    </row>
    <row r="180" spans="1:5" ht="14.5" x14ac:dyDescent="0.35">
      <c r="A180" s="38" t="s">
        <v>1057</v>
      </c>
      <c r="B180" s="38" t="s">
        <v>296</v>
      </c>
      <c r="C180" s="39">
        <v>297</v>
      </c>
      <c r="D180" s="39">
        <v>772</v>
      </c>
      <c r="E180" s="39">
        <v>1069</v>
      </c>
    </row>
    <row r="181" spans="1:5" ht="14.5" x14ac:dyDescent="0.35">
      <c r="A181" s="38" t="s">
        <v>1058</v>
      </c>
      <c r="B181" s="38" t="s">
        <v>296</v>
      </c>
      <c r="C181" s="39">
        <v>1290</v>
      </c>
      <c r="D181" s="39">
        <v>63670</v>
      </c>
      <c r="E181" s="39">
        <v>64960</v>
      </c>
    </row>
    <row r="182" spans="1:5" ht="14.5" x14ac:dyDescent="0.35">
      <c r="A182" s="38" t="s">
        <v>1059</v>
      </c>
      <c r="B182" s="38" t="s">
        <v>296</v>
      </c>
      <c r="C182" s="39">
        <v>2032</v>
      </c>
      <c r="D182" s="39">
        <v>10621</v>
      </c>
      <c r="E182" s="39">
        <v>12653</v>
      </c>
    </row>
    <row r="183" spans="1:5" ht="14.5" x14ac:dyDescent="0.35">
      <c r="A183" s="38" t="s">
        <v>1060</v>
      </c>
      <c r="B183" s="38" t="s">
        <v>296</v>
      </c>
      <c r="C183" s="39">
        <v>414</v>
      </c>
      <c r="D183" s="39">
        <v>981</v>
      </c>
      <c r="E183" s="39">
        <v>1395</v>
      </c>
    </row>
    <row r="184" spans="1:5" ht="14.5" x14ac:dyDescent="0.35">
      <c r="A184" s="46" t="s">
        <v>304</v>
      </c>
      <c r="B184" s="46" t="s">
        <v>296</v>
      </c>
      <c r="C184" s="47">
        <v>2749842</v>
      </c>
      <c r="D184" s="47">
        <v>6344470</v>
      </c>
      <c r="E184" s="47">
        <v>9094312</v>
      </c>
    </row>
    <row r="185" spans="1:5" ht="14.5" x14ac:dyDescent="0.35">
      <c r="A185" s="38" t="s">
        <v>881</v>
      </c>
      <c r="B185" s="38" t="s">
        <v>1063</v>
      </c>
      <c r="C185" s="40">
        <v>0</v>
      </c>
      <c r="D185" s="40">
        <v>100</v>
      </c>
      <c r="E185" s="40">
        <v>100</v>
      </c>
    </row>
    <row r="186" spans="1:5" ht="14.5" x14ac:dyDescent="0.35">
      <c r="A186" s="38" t="s">
        <v>882</v>
      </c>
      <c r="B186" s="38" t="s">
        <v>1063</v>
      </c>
      <c r="C186" s="40">
        <v>14.0329</v>
      </c>
      <c r="D186" s="40">
        <v>85.967100000000002</v>
      </c>
      <c r="E186" s="40">
        <v>100</v>
      </c>
    </row>
    <row r="187" spans="1:5" ht="14.5" x14ac:dyDescent="0.35">
      <c r="A187" s="38" t="s">
        <v>363</v>
      </c>
      <c r="B187" s="38" t="s">
        <v>1063</v>
      </c>
      <c r="C187" s="40">
        <v>0</v>
      </c>
      <c r="D187" s="40">
        <v>100</v>
      </c>
      <c r="E187" s="40">
        <v>100</v>
      </c>
    </row>
    <row r="188" spans="1:5" ht="14.5" x14ac:dyDescent="0.35">
      <c r="A188" s="38" t="s">
        <v>883</v>
      </c>
      <c r="B188" s="38" t="s">
        <v>1063</v>
      </c>
      <c r="C188" s="40">
        <v>91.676500000000004</v>
      </c>
      <c r="D188" s="40">
        <v>8.3234999999999992</v>
      </c>
      <c r="E188" s="40">
        <v>100</v>
      </c>
    </row>
    <row r="189" spans="1:5" ht="14.5" x14ac:dyDescent="0.35">
      <c r="A189" s="38" t="s">
        <v>884</v>
      </c>
      <c r="B189" s="38" t="s">
        <v>1063</v>
      </c>
      <c r="C189" s="40">
        <v>35.6905</v>
      </c>
      <c r="D189" s="40">
        <v>64.3095</v>
      </c>
      <c r="E189" s="40">
        <v>100</v>
      </c>
    </row>
    <row r="190" spans="1:5" ht="14.5" x14ac:dyDescent="0.35">
      <c r="A190" s="38" t="s">
        <v>885</v>
      </c>
      <c r="B190" s="38" t="s">
        <v>1063</v>
      </c>
      <c r="C190" s="40">
        <v>93.722200000000001</v>
      </c>
      <c r="D190" s="40">
        <v>6.2778</v>
      </c>
      <c r="E190" s="40">
        <v>100</v>
      </c>
    </row>
    <row r="191" spans="1:5" ht="14.5" x14ac:dyDescent="0.35">
      <c r="A191" s="38" t="s">
        <v>886</v>
      </c>
      <c r="B191" s="38" t="s">
        <v>1063</v>
      </c>
      <c r="C191" s="40">
        <v>62.6096</v>
      </c>
      <c r="D191" s="40">
        <v>37.3904</v>
      </c>
      <c r="E191" s="40">
        <v>100</v>
      </c>
    </row>
    <row r="192" spans="1:5" ht="14.5" x14ac:dyDescent="0.35">
      <c r="A192" s="38" t="s">
        <v>887</v>
      </c>
      <c r="B192" s="38" t="s">
        <v>1063</v>
      </c>
      <c r="C192" s="40">
        <v>85.2333</v>
      </c>
      <c r="D192" s="40">
        <v>14.7667</v>
      </c>
      <c r="E192" s="40">
        <v>100</v>
      </c>
    </row>
    <row r="193" spans="1:5" ht="14.5" x14ac:dyDescent="0.35">
      <c r="A193" s="38" t="s">
        <v>888</v>
      </c>
      <c r="B193" s="38" t="s">
        <v>1063</v>
      </c>
      <c r="C193" s="40">
        <v>60.017400000000002</v>
      </c>
      <c r="D193" s="40">
        <v>39.982599999999998</v>
      </c>
      <c r="E193" s="40">
        <v>100</v>
      </c>
    </row>
    <row r="194" spans="1:5" ht="14.5" x14ac:dyDescent="0.35">
      <c r="A194" s="38" t="s">
        <v>889</v>
      </c>
      <c r="B194" s="38" t="s">
        <v>1063</v>
      </c>
      <c r="C194" s="40">
        <v>59.195300000000003</v>
      </c>
      <c r="D194" s="40">
        <v>40.804699999999997</v>
      </c>
      <c r="E194" s="40">
        <v>100</v>
      </c>
    </row>
    <row r="195" spans="1:5" ht="14.5" x14ac:dyDescent="0.35">
      <c r="A195" s="38" t="s">
        <v>890</v>
      </c>
      <c r="B195" s="38" t="s">
        <v>1063</v>
      </c>
      <c r="C195" s="40">
        <v>84.540499999999994</v>
      </c>
      <c r="D195" s="40">
        <v>15.4595</v>
      </c>
      <c r="E195" s="40">
        <v>100</v>
      </c>
    </row>
    <row r="196" spans="1:5" ht="14.5" x14ac:dyDescent="0.35">
      <c r="A196" s="38" t="s">
        <v>891</v>
      </c>
      <c r="B196" s="38" t="s">
        <v>1063</v>
      </c>
      <c r="C196" s="40">
        <v>45.564399999999999</v>
      </c>
      <c r="D196" s="40">
        <v>54.435600000000001</v>
      </c>
      <c r="E196" s="40">
        <v>100</v>
      </c>
    </row>
    <row r="197" spans="1:5" ht="14.5" x14ac:dyDescent="0.35">
      <c r="A197" s="38" t="s">
        <v>892</v>
      </c>
      <c r="B197" s="38" t="s">
        <v>1063</v>
      </c>
      <c r="C197" s="40">
        <v>12.447800000000001</v>
      </c>
      <c r="D197" s="40">
        <v>87.552199999999999</v>
      </c>
      <c r="E197" s="40">
        <v>100</v>
      </c>
    </row>
    <row r="198" spans="1:5" ht="14.5" x14ac:dyDescent="0.35">
      <c r="A198" s="38" t="s">
        <v>893</v>
      </c>
      <c r="B198" s="38" t="s">
        <v>1063</v>
      </c>
      <c r="C198" s="40">
        <v>76.922600000000003</v>
      </c>
      <c r="D198" s="40">
        <v>23.077400000000001</v>
      </c>
      <c r="E198" s="40">
        <v>100</v>
      </c>
    </row>
    <row r="199" spans="1:5" ht="14.5" x14ac:dyDescent="0.35">
      <c r="A199" s="38" t="s">
        <v>894</v>
      </c>
      <c r="B199" s="38" t="s">
        <v>1063</v>
      </c>
      <c r="C199" s="40">
        <v>26.615400000000001</v>
      </c>
      <c r="D199" s="40">
        <v>73.384600000000006</v>
      </c>
      <c r="E199" s="40">
        <v>100</v>
      </c>
    </row>
    <row r="200" spans="1:5" ht="14.5" x14ac:dyDescent="0.35">
      <c r="A200" s="38" t="s">
        <v>895</v>
      </c>
      <c r="B200" s="38" t="s">
        <v>1063</v>
      </c>
      <c r="C200" s="40">
        <v>65.284599999999998</v>
      </c>
      <c r="D200" s="40">
        <v>34.715400000000002</v>
      </c>
      <c r="E200" s="40">
        <v>100</v>
      </c>
    </row>
    <row r="201" spans="1:5" ht="14.5" x14ac:dyDescent="0.35">
      <c r="A201" s="38" t="s">
        <v>896</v>
      </c>
      <c r="B201" s="38" t="s">
        <v>1063</v>
      </c>
      <c r="C201" s="40">
        <v>10.2727</v>
      </c>
      <c r="D201" s="40">
        <v>89.7273</v>
      </c>
      <c r="E201" s="40">
        <v>100</v>
      </c>
    </row>
    <row r="202" spans="1:5" ht="14.5" x14ac:dyDescent="0.35">
      <c r="A202" s="38" t="s">
        <v>897</v>
      </c>
      <c r="B202" s="38" t="s">
        <v>1063</v>
      </c>
      <c r="C202" s="40">
        <v>94.163899999999998</v>
      </c>
      <c r="D202" s="40">
        <v>5.8361000000000001</v>
      </c>
      <c r="E202" s="40">
        <v>100</v>
      </c>
    </row>
    <row r="203" spans="1:5" ht="14.5" x14ac:dyDescent="0.35">
      <c r="A203" s="38" t="s">
        <v>898</v>
      </c>
      <c r="B203" s="38" t="s">
        <v>1063</v>
      </c>
      <c r="C203" s="40">
        <v>43.372799999999998</v>
      </c>
      <c r="D203" s="40">
        <v>56.627200000000002</v>
      </c>
      <c r="E203" s="40">
        <v>100</v>
      </c>
    </row>
    <row r="204" spans="1:5" ht="14.5" x14ac:dyDescent="0.35">
      <c r="A204" s="38" t="s">
        <v>899</v>
      </c>
      <c r="B204" s="38" t="s">
        <v>1063</v>
      </c>
      <c r="C204" s="40">
        <v>1.1858</v>
      </c>
      <c r="D204" s="40">
        <v>98.8142</v>
      </c>
      <c r="E204" s="40">
        <v>100</v>
      </c>
    </row>
    <row r="205" spans="1:5" ht="14.5" x14ac:dyDescent="0.35">
      <c r="A205" s="38" t="s">
        <v>900</v>
      </c>
      <c r="B205" s="38" t="s">
        <v>1063</v>
      </c>
      <c r="C205" s="40">
        <v>67.400400000000005</v>
      </c>
      <c r="D205" s="40">
        <v>32.599600000000002</v>
      </c>
      <c r="E205" s="40">
        <v>100</v>
      </c>
    </row>
    <row r="206" spans="1:5" ht="14.5" x14ac:dyDescent="0.35">
      <c r="A206" s="38" t="s">
        <v>901</v>
      </c>
      <c r="B206" s="38" t="s">
        <v>1063</v>
      </c>
      <c r="C206" s="40">
        <v>1.1688000000000001</v>
      </c>
      <c r="D206" s="40">
        <v>98.831199999999995</v>
      </c>
      <c r="E206" s="40">
        <v>100</v>
      </c>
    </row>
    <row r="207" spans="1:5" ht="14.5" x14ac:dyDescent="0.35">
      <c r="A207" s="38" t="s">
        <v>902</v>
      </c>
      <c r="B207" s="38" t="s">
        <v>1063</v>
      </c>
      <c r="C207" s="40">
        <v>1.37E-2</v>
      </c>
      <c r="D207" s="40">
        <v>99.9863</v>
      </c>
      <c r="E207" s="40">
        <v>100</v>
      </c>
    </row>
    <row r="208" spans="1:5" ht="14.5" x14ac:dyDescent="0.35">
      <c r="A208" s="38" t="s">
        <v>903</v>
      </c>
      <c r="B208" s="38" t="s">
        <v>1063</v>
      </c>
      <c r="C208" s="40">
        <v>64.996700000000004</v>
      </c>
      <c r="D208" s="40">
        <v>35.003300000000003</v>
      </c>
      <c r="E208" s="40">
        <v>100</v>
      </c>
    </row>
    <row r="209" spans="1:5" ht="14.5" x14ac:dyDescent="0.35">
      <c r="A209" s="38" t="s">
        <v>904</v>
      </c>
      <c r="B209" s="38" t="s">
        <v>1063</v>
      </c>
      <c r="C209" s="40">
        <v>7.4977</v>
      </c>
      <c r="D209" s="40">
        <v>92.502300000000005</v>
      </c>
      <c r="E209" s="40">
        <v>100</v>
      </c>
    </row>
    <row r="210" spans="1:5" ht="14.5" x14ac:dyDescent="0.35">
      <c r="A210" s="38" t="s">
        <v>905</v>
      </c>
      <c r="B210" s="38" t="s">
        <v>1063</v>
      </c>
      <c r="C210" s="40">
        <v>0.18479999999999999</v>
      </c>
      <c r="D210" s="40">
        <v>99.815200000000004</v>
      </c>
      <c r="E210" s="40">
        <v>100</v>
      </c>
    </row>
    <row r="211" spans="1:5" ht="14.5" x14ac:dyDescent="0.35">
      <c r="A211" s="38" t="s">
        <v>906</v>
      </c>
      <c r="B211" s="38" t="s">
        <v>1063</v>
      </c>
      <c r="C211" s="40">
        <v>64.555999999999997</v>
      </c>
      <c r="D211" s="40">
        <v>35.444000000000003</v>
      </c>
      <c r="E211" s="40">
        <v>100</v>
      </c>
    </row>
    <row r="212" spans="1:5" ht="14.5" x14ac:dyDescent="0.35">
      <c r="A212" s="38" t="s">
        <v>907</v>
      </c>
      <c r="B212" s="38" t="s">
        <v>1063</v>
      </c>
      <c r="C212" s="40">
        <v>14.0343</v>
      </c>
      <c r="D212" s="40">
        <v>85.965699999999998</v>
      </c>
      <c r="E212" s="40">
        <v>100</v>
      </c>
    </row>
    <row r="213" spans="1:5" ht="14.5" x14ac:dyDescent="0.35">
      <c r="A213" s="38" t="s">
        <v>908</v>
      </c>
      <c r="B213" s="38" t="s">
        <v>1063</v>
      </c>
      <c r="C213" s="40">
        <v>0.2989</v>
      </c>
      <c r="D213" s="40">
        <v>99.701099999999997</v>
      </c>
      <c r="E213" s="40">
        <v>100</v>
      </c>
    </row>
    <row r="214" spans="1:5" ht="14.5" x14ac:dyDescent="0.35">
      <c r="A214" s="38" t="s">
        <v>909</v>
      </c>
      <c r="B214" s="38" t="s">
        <v>1063</v>
      </c>
      <c r="C214" s="40">
        <v>86.885900000000007</v>
      </c>
      <c r="D214" s="40">
        <v>13.114100000000001</v>
      </c>
      <c r="E214" s="40">
        <v>100</v>
      </c>
    </row>
    <row r="215" spans="1:5" ht="14.5" x14ac:dyDescent="0.35">
      <c r="A215" s="38" t="s">
        <v>910</v>
      </c>
      <c r="B215" s="38" t="s">
        <v>1063</v>
      </c>
      <c r="C215" s="40">
        <v>83.121300000000005</v>
      </c>
      <c r="D215" s="40">
        <v>16.878699999999998</v>
      </c>
      <c r="E215" s="40">
        <v>100</v>
      </c>
    </row>
    <row r="216" spans="1:5" ht="14.5" x14ac:dyDescent="0.35">
      <c r="A216" s="38" t="s">
        <v>911</v>
      </c>
      <c r="B216" s="38" t="s">
        <v>1063</v>
      </c>
      <c r="C216" s="40">
        <v>52.784399999999998</v>
      </c>
      <c r="D216" s="40">
        <v>47.215600000000002</v>
      </c>
      <c r="E216" s="40">
        <v>100</v>
      </c>
    </row>
    <row r="217" spans="1:5" ht="14.5" x14ac:dyDescent="0.35">
      <c r="A217" s="38" t="s">
        <v>912</v>
      </c>
      <c r="B217" s="38" t="s">
        <v>1063</v>
      </c>
      <c r="C217" s="40">
        <v>95.240799999999993</v>
      </c>
      <c r="D217" s="40">
        <v>4.7591999999999999</v>
      </c>
      <c r="E217" s="40">
        <v>100</v>
      </c>
    </row>
    <row r="218" spans="1:5" ht="14.5" x14ac:dyDescent="0.35">
      <c r="A218" s="38" t="s">
        <v>913</v>
      </c>
      <c r="B218" s="38" t="s">
        <v>1063</v>
      </c>
      <c r="C218" s="40">
        <v>72.615700000000004</v>
      </c>
      <c r="D218" s="40">
        <v>27.3843</v>
      </c>
      <c r="E218" s="40">
        <v>100</v>
      </c>
    </row>
    <row r="219" spans="1:5" ht="14.5" x14ac:dyDescent="0.35">
      <c r="A219" s="38" t="s">
        <v>914</v>
      </c>
      <c r="B219" s="38" t="s">
        <v>1063</v>
      </c>
      <c r="C219" s="40">
        <v>4.8780000000000001</v>
      </c>
      <c r="D219" s="40">
        <v>95.122</v>
      </c>
      <c r="E219" s="40">
        <v>100</v>
      </c>
    </row>
    <row r="220" spans="1:5" ht="14.5" x14ac:dyDescent="0.35">
      <c r="A220" s="38" t="s">
        <v>915</v>
      </c>
      <c r="B220" s="38" t="s">
        <v>1063</v>
      </c>
      <c r="C220" s="40">
        <v>87.037000000000006</v>
      </c>
      <c r="D220" s="40">
        <v>12.962999999999999</v>
      </c>
      <c r="E220" s="40">
        <v>100</v>
      </c>
    </row>
    <row r="221" spans="1:5" ht="14.5" x14ac:dyDescent="0.35">
      <c r="A221" s="38" t="s">
        <v>916</v>
      </c>
      <c r="B221" s="38" t="s">
        <v>1063</v>
      </c>
      <c r="C221" s="40">
        <v>62.726399999999998</v>
      </c>
      <c r="D221" s="40">
        <v>37.273600000000002</v>
      </c>
      <c r="E221" s="40">
        <v>100</v>
      </c>
    </row>
    <row r="222" spans="1:5" ht="14.5" x14ac:dyDescent="0.35">
      <c r="A222" s="38" t="s">
        <v>917</v>
      </c>
      <c r="B222" s="38" t="s">
        <v>1063</v>
      </c>
      <c r="C222" s="40">
        <v>5.3926999999999996</v>
      </c>
      <c r="D222" s="40">
        <v>94.607299999999995</v>
      </c>
      <c r="E222" s="40">
        <v>100</v>
      </c>
    </row>
    <row r="223" spans="1:5" ht="14.5" x14ac:dyDescent="0.35">
      <c r="A223" s="38" t="s">
        <v>918</v>
      </c>
      <c r="B223" s="38" t="s">
        <v>1063</v>
      </c>
      <c r="C223" s="40">
        <v>59.386200000000002</v>
      </c>
      <c r="D223" s="40">
        <v>40.613799999999998</v>
      </c>
      <c r="E223" s="40">
        <v>100</v>
      </c>
    </row>
    <row r="224" spans="1:5" ht="14.5" x14ac:dyDescent="0.35">
      <c r="A224" s="38" t="s">
        <v>919</v>
      </c>
      <c r="B224" s="38" t="s">
        <v>1063</v>
      </c>
      <c r="C224" s="40">
        <v>0.88170000000000004</v>
      </c>
      <c r="D224" s="40">
        <v>99.118300000000005</v>
      </c>
      <c r="E224" s="40">
        <v>100</v>
      </c>
    </row>
    <row r="225" spans="1:5" ht="14.5" x14ac:dyDescent="0.35">
      <c r="A225" s="38" t="s">
        <v>920</v>
      </c>
      <c r="B225" s="38" t="s">
        <v>1063</v>
      </c>
      <c r="C225" s="40">
        <v>89.876599999999996</v>
      </c>
      <c r="D225" s="40">
        <v>10.1234</v>
      </c>
      <c r="E225" s="40">
        <v>100</v>
      </c>
    </row>
    <row r="226" spans="1:5" ht="14.5" x14ac:dyDescent="0.35">
      <c r="A226" s="38" t="s">
        <v>921</v>
      </c>
      <c r="B226" s="38" t="s">
        <v>1063</v>
      </c>
      <c r="C226" s="40">
        <v>47.951900000000002</v>
      </c>
      <c r="D226" s="40">
        <v>52.048099999999998</v>
      </c>
      <c r="E226" s="40">
        <v>100</v>
      </c>
    </row>
    <row r="227" spans="1:5" ht="14.5" x14ac:dyDescent="0.35">
      <c r="A227" s="38" t="s">
        <v>922</v>
      </c>
      <c r="B227" s="38" t="s">
        <v>1063</v>
      </c>
      <c r="C227" s="40">
        <v>1.0463</v>
      </c>
      <c r="D227" s="40">
        <v>98.953699999999998</v>
      </c>
      <c r="E227" s="40">
        <v>100</v>
      </c>
    </row>
    <row r="228" spans="1:5" ht="14.5" x14ac:dyDescent="0.35">
      <c r="A228" s="38" t="s">
        <v>923</v>
      </c>
      <c r="B228" s="38" t="s">
        <v>1063</v>
      </c>
      <c r="C228" s="40">
        <v>94.741399999999999</v>
      </c>
      <c r="D228" s="40">
        <v>5.2586000000000004</v>
      </c>
      <c r="E228" s="40">
        <v>100</v>
      </c>
    </row>
    <row r="229" spans="1:5" ht="14.5" x14ac:dyDescent="0.35">
      <c r="A229" s="38" t="s">
        <v>924</v>
      </c>
      <c r="B229" s="38" t="s">
        <v>1063</v>
      </c>
      <c r="C229" s="40">
        <v>77.809600000000003</v>
      </c>
      <c r="D229" s="40">
        <v>22.1904</v>
      </c>
      <c r="E229" s="40">
        <v>100</v>
      </c>
    </row>
    <row r="230" spans="1:5" ht="14.5" x14ac:dyDescent="0.35">
      <c r="A230" s="38" t="s">
        <v>925</v>
      </c>
      <c r="B230" s="38" t="s">
        <v>1063</v>
      </c>
      <c r="C230" s="40">
        <v>21.9678</v>
      </c>
      <c r="D230" s="40">
        <v>78.032200000000003</v>
      </c>
      <c r="E230" s="40">
        <v>100</v>
      </c>
    </row>
    <row r="231" spans="1:5" ht="14.5" x14ac:dyDescent="0.35">
      <c r="A231" s="38" t="s">
        <v>926</v>
      </c>
      <c r="B231" s="38" t="s">
        <v>1063</v>
      </c>
      <c r="C231" s="40">
        <v>1.2238</v>
      </c>
      <c r="D231" s="40">
        <v>98.776200000000003</v>
      </c>
      <c r="E231" s="40">
        <v>100</v>
      </c>
    </row>
    <row r="232" spans="1:5" ht="14.5" x14ac:dyDescent="0.35">
      <c r="A232" s="38" t="s">
        <v>927</v>
      </c>
      <c r="B232" s="38" t="s">
        <v>1063</v>
      </c>
      <c r="C232" s="40">
        <v>72.010999999999996</v>
      </c>
      <c r="D232" s="40">
        <v>27.989000000000001</v>
      </c>
      <c r="E232" s="40">
        <v>100</v>
      </c>
    </row>
    <row r="233" spans="1:5" ht="14.5" x14ac:dyDescent="0.35">
      <c r="A233" s="38" t="s">
        <v>928</v>
      </c>
      <c r="B233" s="38" t="s">
        <v>1063</v>
      </c>
      <c r="C233" s="40">
        <v>89.191199999999995</v>
      </c>
      <c r="D233" s="40">
        <v>10.8088</v>
      </c>
      <c r="E233" s="40">
        <v>100</v>
      </c>
    </row>
    <row r="234" spans="1:5" ht="14.5" x14ac:dyDescent="0.35">
      <c r="A234" s="38" t="s">
        <v>929</v>
      </c>
      <c r="B234" s="38" t="s">
        <v>1063</v>
      </c>
      <c r="C234" s="40">
        <v>19.341200000000001</v>
      </c>
      <c r="D234" s="40">
        <v>80.658799999999999</v>
      </c>
      <c r="E234" s="40">
        <v>100</v>
      </c>
    </row>
    <row r="235" spans="1:5" ht="14.5" x14ac:dyDescent="0.35">
      <c r="A235" s="38" t="s">
        <v>930</v>
      </c>
      <c r="B235" s="38" t="s">
        <v>1063</v>
      </c>
      <c r="C235" s="40">
        <v>94.828000000000003</v>
      </c>
      <c r="D235" s="40">
        <v>5.1719999999999997</v>
      </c>
      <c r="E235" s="40">
        <v>100</v>
      </c>
    </row>
    <row r="236" spans="1:5" ht="14.5" x14ac:dyDescent="0.35">
      <c r="A236" s="38" t="s">
        <v>931</v>
      </c>
      <c r="B236" s="38" t="s">
        <v>1063</v>
      </c>
      <c r="C236" s="40">
        <v>73.127300000000005</v>
      </c>
      <c r="D236" s="40">
        <v>26.872699999999998</v>
      </c>
      <c r="E236" s="40">
        <v>100</v>
      </c>
    </row>
    <row r="237" spans="1:5" ht="14.5" x14ac:dyDescent="0.35">
      <c r="A237" s="38" t="s">
        <v>932</v>
      </c>
      <c r="B237" s="38" t="s">
        <v>1063</v>
      </c>
      <c r="C237" s="40">
        <v>74.521699999999996</v>
      </c>
      <c r="D237" s="40">
        <v>25.478300000000001</v>
      </c>
      <c r="E237" s="40">
        <v>100</v>
      </c>
    </row>
    <row r="238" spans="1:5" ht="14.5" x14ac:dyDescent="0.35">
      <c r="A238" s="38" t="s">
        <v>933</v>
      </c>
      <c r="B238" s="38" t="s">
        <v>1063</v>
      </c>
      <c r="C238" s="40">
        <v>31.568100000000001</v>
      </c>
      <c r="D238" s="40">
        <v>68.431899999999999</v>
      </c>
      <c r="E238" s="40">
        <v>100</v>
      </c>
    </row>
    <row r="239" spans="1:5" ht="14.5" x14ac:dyDescent="0.35">
      <c r="A239" s="38" t="s">
        <v>934</v>
      </c>
      <c r="B239" s="38" t="s">
        <v>1063</v>
      </c>
      <c r="C239" s="40">
        <v>0.61019999999999996</v>
      </c>
      <c r="D239" s="40">
        <v>99.389799999999994</v>
      </c>
      <c r="E239" s="40">
        <v>100</v>
      </c>
    </row>
    <row r="240" spans="1:5" ht="14.5" x14ac:dyDescent="0.35">
      <c r="A240" s="38" t="s">
        <v>935</v>
      </c>
      <c r="B240" s="38" t="s">
        <v>1063</v>
      </c>
      <c r="C240" s="40">
        <v>88.122399999999999</v>
      </c>
      <c r="D240" s="40">
        <v>11.877599999999999</v>
      </c>
      <c r="E240" s="40">
        <v>100</v>
      </c>
    </row>
    <row r="241" spans="1:5" ht="14.5" x14ac:dyDescent="0.35">
      <c r="A241" s="38" t="s">
        <v>936</v>
      </c>
      <c r="B241" s="38" t="s">
        <v>1063</v>
      </c>
      <c r="C241" s="40">
        <v>52.139899999999997</v>
      </c>
      <c r="D241" s="40">
        <v>47.860100000000003</v>
      </c>
      <c r="E241" s="40">
        <v>100</v>
      </c>
    </row>
    <row r="242" spans="1:5" ht="14.5" x14ac:dyDescent="0.35">
      <c r="A242" s="38" t="s">
        <v>937</v>
      </c>
      <c r="B242" s="38" t="s">
        <v>1063</v>
      </c>
      <c r="C242" s="40">
        <v>1.3920999999999999</v>
      </c>
      <c r="D242" s="40">
        <v>98.607900000000001</v>
      </c>
      <c r="E242" s="40">
        <v>100</v>
      </c>
    </row>
    <row r="243" spans="1:5" ht="14.5" x14ac:dyDescent="0.35">
      <c r="A243" s="38" t="s">
        <v>938</v>
      </c>
      <c r="B243" s="38" t="s">
        <v>1063</v>
      </c>
      <c r="C243" s="40">
        <v>91.161600000000007</v>
      </c>
      <c r="D243" s="40">
        <v>8.8384</v>
      </c>
      <c r="E243" s="40">
        <v>100</v>
      </c>
    </row>
    <row r="244" spans="1:5" ht="14.5" x14ac:dyDescent="0.35">
      <c r="A244" s="38" t="s">
        <v>939</v>
      </c>
      <c r="B244" s="38" t="s">
        <v>1063</v>
      </c>
      <c r="C244" s="40">
        <v>42.840699999999998</v>
      </c>
      <c r="D244" s="40">
        <v>57.159300000000002</v>
      </c>
      <c r="E244" s="40">
        <v>100</v>
      </c>
    </row>
    <row r="245" spans="1:5" ht="14.5" x14ac:dyDescent="0.35">
      <c r="A245" s="38" t="s">
        <v>940</v>
      </c>
      <c r="B245" s="38" t="s">
        <v>1063</v>
      </c>
      <c r="C245" s="40">
        <v>83.873800000000003</v>
      </c>
      <c r="D245" s="40">
        <v>16.126200000000001</v>
      </c>
      <c r="E245" s="40">
        <v>100</v>
      </c>
    </row>
    <row r="246" spans="1:5" ht="14.5" x14ac:dyDescent="0.35">
      <c r="A246" s="38" t="s">
        <v>941</v>
      </c>
      <c r="B246" s="38" t="s">
        <v>1063</v>
      </c>
      <c r="C246" s="40">
        <v>88.953800000000001</v>
      </c>
      <c r="D246" s="40">
        <v>11.046200000000001</v>
      </c>
      <c r="E246" s="40">
        <v>100</v>
      </c>
    </row>
    <row r="247" spans="1:5" ht="14.5" x14ac:dyDescent="0.35">
      <c r="A247" s="38" t="s">
        <v>942</v>
      </c>
      <c r="B247" s="38" t="s">
        <v>1063</v>
      </c>
      <c r="C247" s="40">
        <v>81.601799999999997</v>
      </c>
      <c r="D247" s="40">
        <v>18.398199999999999</v>
      </c>
      <c r="E247" s="40">
        <v>100</v>
      </c>
    </row>
    <row r="248" spans="1:5" ht="14.5" x14ac:dyDescent="0.35">
      <c r="A248" s="38" t="s">
        <v>943</v>
      </c>
      <c r="B248" s="38" t="s">
        <v>1063</v>
      </c>
      <c r="C248" s="40">
        <v>70.881600000000006</v>
      </c>
      <c r="D248" s="40">
        <v>29.118400000000001</v>
      </c>
      <c r="E248" s="40">
        <v>100</v>
      </c>
    </row>
    <row r="249" spans="1:5" ht="14.5" x14ac:dyDescent="0.35">
      <c r="A249" s="38" t="s">
        <v>944</v>
      </c>
      <c r="B249" s="38" t="s">
        <v>1063</v>
      </c>
      <c r="C249" s="40">
        <v>29.948599999999999</v>
      </c>
      <c r="D249" s="40">
        <v>70.051400000000001</v>
      </c>
      <c r="E249" s="40">
        <v>100</v>
      </c>
    </row>
    <row r="250" spans="1:5" ht="14.5" x14ac:dyDescent="0.35">
      <c r="A250" s="38" t="s">
        <v>945</v>
      </c>
      <c r="B250" s="38" t="s">
        <v>1063</v>
      </c>
      <c r="C250" s="40">
        <v>0.1686</v>
      </c>
      <c r="D250" s="40">
        <v>99.831400000000002</v>
      </c>
      <c r="E250" s="40">
        <v>100</v>
      </c>
    </row>
    <row r="251" spans="1:5" ht="14.5" x14ac:dyDescent="0.35">
      <c r="A251" s="38" t="s">
        <v>946</v>
      </c>
      <c r="B251" s="38" t="s">
        <v>1063</v>
      </c>
      <c r="C251" s="40">
        <v>85.412999999999997</v>
      </c>
      <c r="D251" s="40">
        <v>14.587</v>
      </c>
      <c r="E251" s="40">
        <v>100</v>
      </c>
    </row>
    <row r="252" spans="1:5" ht="14.5" x14ac:dyDescent="0.35">
      <c r="A252" s="38" t="s">
        <v>947</v>
      </c>
      <c r="B252" s="38" t="s">
        <v>1063</v>
      </c>
      <c r="C252" s="40">
        <v>16.249600000000001</v>
      </c>
      <c r="D252" s="40">
        <v>83.750399999999999</v>
      </c>
      <c r="E252" s="40">
        <v>100</v>
      </c>
    </row>
    <row r="253" spans="1:5" ht="14.5" x14ac:dyDescent="0.35">
      <c r="A253" s="38" t="s">
        <v>948</v>
      </c>
      <c r="B253" s="38" t="s">
        <v>1063</v>
      </c>
      <c r="C253" s="40">
        <v>0.44840000000000002</v>
      </c>
      <c r="D253" s="40">
        <v>99.551599999999993</v>
      </c>
      <c r="E253" s="40">
        <v>100</v>
      </c>
    </row>
    <row r="254" spans="1:5" ht="14.5" x14ac:dyDescent="0.35">
      <c r="A254" s="38" t="s">
        <v>949</v>
      </c>
      <c r="B254" s="38" t="s">
        <v>1063</v>
      </c>
      <c r="C254" s="40">
        <v>88.648899999999998</v>
      </c>
      <c r="D254" s="40">
        <v>11.351100000000001</v>
      </c>
      <c r="E254" s="40">
        <v>100</v>
      </c>
    </row>
    <row r="255" spans="1:5" ht="14.5" x14ac:dyDescent="0.35">
      <c r="A255" s="38" t="s">
        <v>950</v>
      </c>
      <c r="B255" s="38" t="s">
        <v>1063</v>
      </c>
      <c r="C255" s="40">
        <v>69.710999999999999</v>
      </c>
      <c r="D255" s="40">
        <v>30.289000000000001</v>
      </c>
      <c r="E255" s="40">
        <v>100</v>
      </c>
    </row>
    <row r="256" spans="1:5" ht="14.5" x14ac:dyDescent="0.35">
      <c r="A256" s="38" t="s">
        <v>951</v>
      </c>
      <c r="B256" s="38" t="s">
        <v>1063</v>
      </c>
      <c r="C256" s="40">
        <v>31.083400000000001</v>
      </c>
      <c r="D256" s="40">
        <v>68.916600000000003</v>
      </c>
      <c r="E256" s="40">
        <v>100</v>
      </c>
    </row>
    <row r="257" spans="1:5" ht="14.5" x14ac:dyDescent="0.35">
      <c r="A257" s="38" t="s">
        <v>952</v>
      </c>
      <c r="B257" s="38" t="s">
        <v>1063</v>
      </c>
      <c r="C257" s="40">
        <v>3.8573</v>
      </c>
      <c r="D257" s="40">
        <v>96.142700000000005</v>
      </c>
      <c r="E257" s="40">
        <v>100</v>
      </c>
    </row>
    <row r="258" spans="1:5" ht="14.5" x14ac:dyDescent="0.35">
      <c r="A258" s="38" t="s">
        <v>953</v>
      </c>
      <c r="B258" s="38" t="s">
        <v>1063</v>
      </c>
      <c r="C258" s="40">
        <v>87.401899999999998</v>
      </c>
      <c r="D258" s="40">
        <v>12.598100000000001</v>
      </c>
      <c r="E258" s="40">
        <v>100</v>
      </c>
    </row>
    <row r="259" spans="1:5" ht="14.5" x14ac:dyDescent="0.35">
      <c r="A259" s="38" t="s">
        <v>954</v>
      </c>
      <c r="B259" s="38" t="s">
        <v>1063</v>
      </c>
      <c r="C259" s="40">
        <v>47.357999999999997</v>
      </c>
      <c r="D259" s="40">
        <v>52.642000000000003</v>
      </c>
      <c r="E259" s="40">
        <v>100</v>
      </c>
    </row>
    <row r="260" spans="1:5" ht="14.5" x14ac:dyDescent="0.35">
      <c r="A260" s="38" t="s">
        <v>955</v>
      </c>
      <c r="B260" s="38" t="s">
        <v>1063</v>
      </c>
      <c r="C260" s="40">
        <v>90.637</v>
      </c>
      <c r="D260" s="40">
        <v>9.3629999999999995</v>
      </c>
      <c r="E260" s="40">
        <v>100</v>
      </c>
    </row>
    <row r="261" spans="1:5" ht="14.5" x14ac:dyDescent="0.35">
      <c r="A261" s="38" t="s">
        <v>956</v>
      </c>
      <c r="B261" s="38" t="s">
        <v>1063</v>
      </c>
      <c r="C261" s="40">
        <v>80.713999999999999</v>
      </c>
      <c r="D261" s="40">
        <v>19.286000000000001</v>
      </c>
      <c r="E261" s="40">
        <v>100</v>
      </c>
    </row>
    <row r="262" spans="1:5" ht="14.5" x14ac:dyDescent="0.35">
      <c r="A262" s="38" t="s">
        <v>957</v>
      </c>
      <c r="B262" s="38" t="s">
        <v>1063</v>
      </c>
      <c r="C262" s="40">
        <v>3.7442000000000002</v>
      </c>
      <c r="D262" s="40">
        <v>96.255799999999994</v>
      </c>
      <c r="E262" s="40">
        <v>100</v>
      </c>
    </row>
    <row r="263" spans="1:5" ht="14.5" x14ac:dyDescent="0.35">
      <c r="A263" s="38" t="s">
        <v>958</v>
      </c>
      <c r="B263" s="38" t="s">
        <v>1063</v>
      </c>
      <c r="C263" s="40">
        <v>83.043599999999998</v>
      </c>
      <c r="D263" s="40">
        <v>16.956399999999999</v>
      </c>
      <c r="E263" s="40">
        <v>100</v>
      </c>
    </row>
    <row r="264" spans="1:5" ht="14.5" x14ac:dyDescent="0.35">
      <c r="A264" s="38" t="s">
        <v>959</v>
      </c>
      <c r="B264" s="38" t="s">
        <v>1063</v>
      </c>
      <c r="C264" s="40">
        <v>52.895499999999998</v>
      </c>
      <c r="D264" s="40">
        <v>47.104500000000002</v>
      </c>
      <c r="E264" s="40">
        <v>100</v>
      </c>
    </row>
    <row r="265" spans="1:5" ht="14.5" x14ac:dyDescent="0.35">
      <c r="A265" s="38" t="s">
        <v>960</v>
      </c>
      <c r="B265" s="38" t="s">
        <v>1063</v>
      </c>
      <c r="C265" s="40">
        <v>21.6997</v>
      </c>
      <c r="D265" s="40">
        <v>78.300299999999993</v>
      </c>
      <c r="E265" s="40">
        <v>100</v>
      </c>
    </row>
    <row r="266" spans="1:5" ht="14.5" x14ac:dyDescent="0.35">
      <c r="A266" s="38" t="s">
        <v>961</v>
      </c>
      <c r="B266" s="38" t="s">
        <v>1063</v>
      </c>
      <c r="C266" s="40">
        <v>0.47399999999999998</v>
      </c>
      <c r="D266" s="40">
        <v>99.525999999999996</v>
      </c>
      <c r="E266" s="40">
        <v>100</v>
      </c>
    </row>
    <row r="267" spans="1:5" ht="14.5" x14ac:dyDescent="0.35">
      <c r="A267" s="38" t="s">
        <v>962</v>
      </c>
      <c r="B267" s="38" t="s">
        <v>1063</v>
      </c>
      <c r="C267" s="40">
        <v>86.031099999999995</v>
      </c>
      <c r="D267" s="40">
        <v>13.9689</v>
      </c>
      <c r="E267" s="40">
        <v>100</v>
      </c>
    </row>
    <row r="268" spans="1:5" ht="14.5" x14ac:dyDescent="0.35">
      <c r="A268" s="38" t="s">
        <v>963</v>
      </c>
      <c r="B268" s="38" t="s">
        <v>1063</v>
      </c>
      <c r="C268" s="40">
        <v>54.7821</v>
      </c>
      <c r="D268" s="40">
        <v>45.2179</v>
      </c>
      <c r="E268" s="40">
        <v>100</v>
      </c>
    </row>
    <row r="269" spans="1:5" ht="14.5" x14ac:dyDescent="0.35">
      <c r="A269" s="38" t="s">
        <v>964</v>
      </c>
      <c r="B269" s="38" t="s">
        <v>1063</v>
      </c>
      <c r="C269" s="40">
        <v>0.15029999999999999</v>
      </c>
      <c r="D269" s="40">
        <v>99.849699999999999</v>
      </c>
      <c r="E269" s="40">
        <v>100</v>
      </c>
    </row>
    <row r="270" spans="1:5" ht="14.5" x14ac:dyDescent="0.35">
      <c r="A270" s="38" t="s">
        <v>965</v>
      </c>
      <c r="B270" s="38" t="s">
        <v>1063</v>
      </c>
      <c r="C270" s="40">
        <v>70.743600000000001</v>
      </c>
      <c r="D270" s="40">
        <v>29.256399999999999</v>
      </c>
      <c r="E270" s="40">
        <v>100</v>
      </c>
    </row>
    <row r="271" spans="1:5" ht="14.5" x14ac:dyDescent="0.35">
      <c r="A271" s="38" t="s">
        <v>966</v>
      </c>
      <c r="B271" s="38" t="s">
        <v>1063</v>
      </c>
      <c r="C271" s="40">
        <v>18.4314</v>
      </c>
      <c r="D271" s="40">
        <v>81.568600000000004</v>
      </c>
      <c r="E271" s="40">
        <v>100</v>
      </c>
    </row>
    <row r="272" spans="1:5" ht="14.5" x14ac:dyDescent="0.35">
      <c r="A272" s="38" t="s">
        <v>967</v>
      </c>
      <c r="B272" s="38" t="s">
        <v>1063</v>
      </c>
      <c r="C272" s="40">
        <v>0.50470000000000004</v>
      </c>
      <c r="D272" s="40">
        <v>99.4953</v>
      </c>
      <c r="E272" s="40">
        <v>100</v>
      </c>
    </row>
    <row r="273" spans="1:5" ht="14.5" x14ac:dyDescent="0.35">
      <c r="A273" s="38" t="s">
        <v>968</v>
      </c>
      <c r="B273" s="38" t="s">
        <v>1063</v>
      </c>
      <c r="C273" s="40">
        <v>85.976799999999997</v>
      </c>
      <c r="D273" s="40">
        <v>14.023199999999999</v>
      </c>
      <c r="E273" s="40">
        <v>100</v>
      </c>
    </row>
    <row r="274" spans="1:5" ht="14.5" x14ac:dyDescent="0.35">
      <c r="A274" s="38" t="s">
        <v>969</v>
      </c>
      <c r="B274" s="38" t="s">
        <v>1063</v>
      </c>
      <c r="C274" s="40">
        <v>77.891499999999994</v>
      </c>
      <c r="D274" s="40">
        <v>22.108499999999999</v>
      </c>
      <c r="E274" s="40">
        <v>100</v>
      </c>
    </row>
    <row r="275" spans="1:5" ht="14.5" x14ac:dyDescent="0.35">
      <c r="A275" s="38" t="s">
        <v>970</v>
      </c>
      <c r="B275" s="38" t="s">
        <v>1063</v>
      </c>
      <c r="C275" s="40">
        <v>24.017199999999999</v>
      </c>
      <c r="D275" s="40">
        <v>75.982799999999997</v>
      </c>
      <c r="E275" s="40">
        <v>100</v>
      </c>
    </row>
    <row r="276" spans="1:5" ht="14.5" x14ac:dyDescent="0.35">
      <c r="A276" s="38" t="s">
        <v>971</v>
      </c>
      <c r="B276" s="38" t="s">
        <v>1063</v>
      </c>
      <c r="C276" s="40">
        <v>85.921499999999995</v>
      </c>
      <c r="D276" s="40">
        <v>14.0785</v>
      </c>
      <c r="E276" s="40">
        <v>100</v>
      </c>
    </row>
    <row r="277" spans="1:5" ht="14.5" x14ac:dyDescent="0.35">
      <c r="A277" s="38" t="s">
        <v>972</v>
      </c>
      <c r="B277" s="38" t="s">
        <v>1063</v>
      </c>
      <c r="C277" s="40">
        <v>66.022800000000004</v>
      </c>
      <c r="D277" s="40">
        <v>33.977200000000003</v>
      </c>
      <c r="E277" s="40">
        <v>100</v>
      </c>
    </row>
    <row r="278" spans="1:5" ht="14.5" x14ac:dyDescent="0.35">
      <c r="A278" s="38" t="s">
        <v>973</v>
      </c>
      <c r="B278" s="38" t="s">
        <v>1063</v>
      </c>
      <c r="C278" s="40">
        <v>29.431699999999999</v>
      </c>
      <c r="D278" s="40">
        <v>70.568299999999994</v>
      </c>
      <c r="E278" s="40">
        <v>100</v>
      </c>
    </row>
    <row r="279" spans="1:5" ht="14.5" x14ac:dyDescent="0.35">
      <c r="A279" s="38" t="s">
        <v>974</v>
      </c>
      <c r="B279" s="38" t="s">
        <v>1063</v>
      </c>
      <c r="C279" s="40">
        <v>86.088200000000001</v>
      </c>
      <c r="D279" s="40">
        <v>13.911799999999999</v>
      </c>
      <c r="E279" s="40">
        <v>100</v>
      </c>
    </row>
    <row r="280" spans="1:5" ht="14.5" x14ac:dyDescent="0.35">
      <c r="A280" s="38" t="s">
        <v>975</v>
      </c>
      <c r="B280" s="38" t="s">
        <v>1063</v>
      </c>
      <c r="C280" s="40">
        <v>80.187299999999993</v>
      </c>
      <c r="D280" s="40">
        <v>19.8127</v>
      </c>
      <c r="E280" s="40">
        <v>100</v>
      </c>
    </row>
    <row r="281" spans="1:5" ht="14.5" x14ac:dyDescent="0.35">
      <c r="A281" s="38" t="s">
        <v>976</v>
      </c>
      <c r="B281" s="38" t="s">
        <v>1063</v>
      </c>
      <c r="C281" s="40">
        <v>70.491600000000005</v>
      </c>
      <c r="D281" s="40">
        <v>29.508400000000002</v>
      </c>
      <c r="E281" s="40">
        <v>100</v>
      </c>
    </row>
    <row r="282" spans="1:5" ht="14.5" x14ac:dyDescent="0.35">
      <c r="A282" s="38" t="s">
        <v>977</v>
      </c>
      <c r="B282" s="38" t="s">
        <v>1063</v>
      </c>
      <c r="C282" s="40">
        <v>59.938299999999998</v>
      </c>
      <c r="D282" s="40">
        <v>40.061700000000002</v>
      </c>
      <c r="E282" s="40">
        <v>100</v>
      </c>
    </row>
    <row r="283" spans="1:5" ht="14.5" x14ac:dyDescent="0.35">
      <c r="A283" s="38" t="s">
        <v>978</v>
      </c>
      <c r="B283" s="38" t="s">
        <v>1063</v>
      </c>
      <c r="C283" s="40">
        <v>42.023699999999998</v>
      </c>
      <c r="D283" s="40">
        <v>57.976300000000002</v>
      </c>
      <c r="E283" s="40">
        <v>100</v>
      </c>
    </row>
    <row r="284" spans="1:5" ht="14.5" x14ac:dyDescent="0.35">
      <c r="A284" s="38" t="s">
        <v>979</v>
      </c>
      <c r="B284" s="38" t="s">
        <v>1063</v>
      </c>
      <c r="C284" s="40">
        <v>73.898399999999995</v>
      </c>
      <c r="D284" s="40">
        <v>26.101600000000001</v>
      </c>
      <c r="E284" s="40">
        <v>100</v>
      </c>
    </row>
    <row r="285" spans="1:5" ht="14.5" x14ac:dyDescent="0.35">
      <c r="A285" s="38" t="s">
        <v>980</v>
      </c>
      <c r="B285" s="38" t="s">
        <v>1063</v>
      </c>
      <c r="C285" s="40">
        <v>29.5778</v>
      </c>
      <c r="D285" s="40">
        <v>70.422200000000004</v>
      </c>
      <c r="E285" s="40">
        <v>100</v>
      </c>
    </row>
    <row r="286" spans="1:5" ht="14.5" x14ac:dyDescent="0.35">
      <c r="A286" s="38" t="s">
        <v>981</v>
      </c>
      <c r="B286" s="38" t="s">
        <v>1063</v>
      </c>
      <c r="C286" s="40">
        <v>0.23300000000000001</v>
      </c>
      <c r="D286" s="40">
        <v>99.766999999999996</v>
      </c>
      <c r="E286" s="40">
        <v>100</v>
      </c>
    </row>
    <row r="287" spans="1:5" ht="14.5" x14ac:dyDescent="0.35">
      <c r="A287" s="38" t="s">
        <v>982</v>
      </c>
      <c r="B287" s="38" t="s">
        <v>1063</v>
      </c>
      <c r="C287" s="40">
        <v>80.518100000000004</v>
      </c>
      <c r="D287" s="40">
        <v>19.4819</v>
      </c>
      <c r="E287" s="40">
        <v>100</v>
      </c>
    </row>
    <row r="288" spans="1:5" ht="14.5" x14ac:dyDescent="0.35">
      <c r="A288" s="38" t="s">
        <v>983</v>
      </c>
      <c r="B288" s="38" t="s">
        <v>1063</v>
      </c>
      <c r="C288" s="40">
        <v>13.927199999999999</v>
      </c>
      <c r="D288" s="40">
        <v>86.072800000000001</v>
      </c>
      <c r="E288" s="40">
        <v>100</v>
      </c>
    </row>
    <row r="289" spans="1:5" ht="14.5" x14ac:dyDescent="0.35">
      <c r="A289" s="38" t="s">
        <v>984</v>
      </c>
      <c r="B289" s="38" t="s">
        <v>1063</v>
      </c>
      <c r="C289" s="40">
        <v>47.297899999999998</v>
      </c>
      <c r="D289" s="40">
        <v>52.702100000000002</v>
      </c>
      <c r="E289" s="40">
        <v>100</v>
      </c>
    </row>
    <row r="290" spans="1:5" ht="14.5" x14ac:dyDescent="0.35">
      <c r="A290" s="38" t="s">
        <v>985</v>
      </c>
      <c r="B290" s="38" t="s">
        <v>1063</v>
      </c>
      <c r="C290" s="40">
        <v>9.8948</v>
      </c>
      <c r="D290" s="40">
        <v>90.105199999999996</v>
      </c>
      <c r="E290" s="40">
        <v>100</v>
      </c>
    </row>
    <row r="291" spans="1:5" ht="14.5" x14ac:dyDescent="0.35">
      <c r="A291" s="38" t="s">
        <v>986</v>
      </c>
      <c r="B291" s="38" t="s">
        <v>1063</v>
      </c>
      <c r="C291" s="40">
        <v>68.227999999999994</v>
      </c>
      <c r="D291" s="40">
        <v>31.771999999999998</v>
      </c>
      <c r="E291" s="40">
        <v>100</v>
      </c>
    </row>
    <row r="292" spans="1:5" ht="14.5" x14ac:dyDescent="0.35">
      <c r="A292" s="38" t="s">
        <v>987</v>
      </c>
      <c r="B292" s="38" t="s">
        <v>1063</v>
      </c>
      <c r="C292" s="40">
        <v>7.8287000000000004</v>
      </c>
      <c r="D292" s="40">
        <v>92.171300000000002</v>
      </c>
      <c r="E292" s="40">
        <v>100</v>
      </c>
    </row>
    <row r="293" spans="1:5" ht="14.5" x14ac:dyDescent="0.35">
      <c r="A293" s="38" t="s">
        <v>988</v>
      </c>
      <c r="B293" s="38" t="s">
        <v>1063</v>
      </c>
      <c r="C293" s="40">
        <v>70.956599999999995</v>
      </c>
      <c r="D293" s="40">
        <v>29.043399999999998</v>
      </c>
      <c r="E293" s="40">
        <v>100</v>
      </c>
    </row>
    <row r="294" spans="1:5" ht="14.5" x14ac:dyDescent="0.35">
      <c r="A294" s="38" t="s">
        <v>989</v>
      </c>
      <c r="B294" s="38" t="s">
        <v>1063</v>
      </c>
      <c r="C294" s="40">
        <v>6.8312999999999997</v>
      </c>
      <c r="D294" s="40">
        <v>93.168700000000001</v>
      </c>
      <c r="E294" s="40">
        <v>100</v>
      </c>
    </row>
    <row r="295" spans="1:5" ht="14.5" x14ac:dyDescent="0.35">
      <c r="A295" s="38" t="s">
        <v>990</v>
      </c>
      <c r="B295" s="38" t="s">
        <v>1063</v>
      </c>
      <c r="C295" s="40">
        <v>45.928400000000003</v>
      </c>
      <c r="D295" s="40">
        <v>54.071599999999997</v>
      </c>
      <c r="E295" s="40">
        <v>100</v>
      </c>
    </row>
    <row r="296" spans="1:5" ht="14.5" x14ac:dyDescent="0.35">
      <c r="A296" s="38" t="s">
        <v>991</v>
      </c>
      <c r="B296" s="38" t="s">
        <v>1063</v>
      </c>
      <c r="C296" s="40">
        <v>22.583500000000001</v>
      </c>
      <c r="D296" s="40">
        <v>77.416499999999999</v>
      </c>
      <c r="E296" s="40">
        <v>100</v>
      </c>
    </row>
    <row r="297" spans="1:5" ht="14.5" x14ac:dyDescent="0.35">
      <c r="A297" s="38" t="s">
        <v>992</v>
      </c>
      <c r="B297" s="38" t="s">
        <v>1063</v>
      </c>
      <c r="C297" s="40">
        <v>36.735999999999997</v>
      </c>
      <c r="D297" s="40">
        <v>63.264000000000003</v>
      </c>
      <c r="E297" s="40">
        <v>100</v>
      </c>
    </row>
    <row r="298" spans="1:5" ht="14.5" x14ac:dyDescent="0.35">
      <c r="A298" s="38" t="s">
        <v>993</v>
      </c>
      <c r="B298" s="38" t="s">
        <v>1063</v>
      </c>
      <c r="C298" s="40">
        <v>87.295100000000005</v>
      </c>
      <c r="D298" s="40">
        <v>12.7049</v>
      </c>
      <c r="E298" s="40">
        <v>100</v>
      </c>
    </row>
    <row r="299" spans="1:5" ht="14.5" x14ac:dyDescent="0.35">
      <c r="A299" s="38" t="s">
        <v>994</v>
      </c>
      <c r="B299" s="38" t="s">
        <v>1063</v>
      </c>
      <c r="C299" s="40">
        <v>24.522300000000001</v>
      </c>
      <c r="D299" s="40">
        <v>75.477699999999999</v>
      </c>
      <c r="E299" s="40">
        <v>100</v>
      </c>
    </row>
    <row r="300" spans="1:5" ht="14.5" x14ac:dyDescent="0.35">
      <c r="A300" s="38" t="s">
        <v>995</v>
      </c>
      <c r="B300" s="38" t="s">
        <v>1063</v>
      </c>
      <c r="C300" s="40">
        <v>72.027299999999997</v>
      </c>
      <c r="D300" s="40">
        <v>27.9727</v>
      </c>
      <c r="E300" s="40">
        <v>100</v>
      </c>
    </row>
    <row r="301" spans="1:5" ht="14.5" x14ac:dyDescent="0.35">
      <c r="A301" s="38" t="s">
        <v>996</v>
      </c>
      <c r="B301" s="38" t="s">
        <v>1063</v>
      </c>
      <c r="C301" s="40">
        <v>86.706500000000005</v>
      </c>
      <c r="D301" s="40">
        <v>13.2935</v>
      </c>
      <c r="E301" s="40">
        <v>100</v>
      </c>
    </row>
    <row r="302" spans="1:5" ht="14.5" x14ac:dyDescent="0.35">
      <c r="A302" s="38" t="s">
        <v>997</v>
      </c>
      <c r="B302" s="38" t="s">
        <v>1063</v>
      </c>
      <c r="C302" s="40">
        <v>24.657499999999999</v>
      </c>
      <c r="D302" s="40">
        <v>75.342500000000001</v>
      </c>
      <c r="E302" s="40">
        <v>100</v>
      </c>
    </row>
    <row r="303" spans="1:5" ht="14.5" x14ac:dyDescent="0.35">
      <c r="A303" s="38" t="s">
        <v>998</v>
      </c>
      <c r="B303" s="38" t="s">
        <v>1063</v>
      </c>
      <c r="C303" s="40">
        <v>76.153000000000006</v>
      </c>
      <c r="D303" s="40">
        <v>23.847000000000001</v>
      </c>
      <c r="E303" s="40">
        <v>100</v>
      </c>
    </row>
    <row r="304" spans="1:5" ht="14.5" x14ac:dyDescent="0.35">
      <c r="A304" s="38" t="s">
        <v>999</v>
      </c>
      <c r="B304" s="38" t="s">
        <v>1063</v>
      </c>
      <c r="C304" s="40">
        <v>77.441000000000003</v>
      </c>
      <c r="D304" s="40">
        <v>22.559000000000001</v>
      </c>
      <c r="E304" s="40">
        <v>100</v>
      </c>
    </row>
    <row r="305" spans="1:5" ht="14.5" x14ac:dyDescent="0.35">
      <c r="A305" s="38" t="s">
        <v>1000</v>
      </c>
      <c r="B305" s="38" t="s">
        <v>1063</v>
      </c>
      <c r="C305" s="40">
        <v>7.0941999999999998</v>
      </c>
      <c r="D305" s="40">
        <v>92.905799999999999</v>
      </c>
      <c r="E305" s="40">
        <v>100</v>
      </c>
    </row>
    <row r="306" spans="1:5" ht="14.5" x14ac:dyDescent="0.35">
      <c r="A306" s="38" t="s">
        <v>1001</v>
      </c>
      <c r="B306" s="38" t="s">
        <v>1063</v>
      </c>
      <c r="C306" s="40">
        <v>87.358999999999995</v>
      </c>
      <c r="D306" s="40">
        <v>12.641</v>
      </c>
      <c r="E306" s="40">
        <v>100</v>
      </c>
    </row>
    <row r="307" spans="1:5" ht="14.5" x14ac:dyDescent="0.35">
      <c r="A307" s="38" t="s">
        <v>1002</v>
      </c>
      <c r="B307" s="38" t="s">
        <v>1063</v>
      </c>
      <c r="C307" s="40">
        <v>62.3949</v>
      </c>
      <c r="D307" s="40">
        <v>37.6051</v>
      </c>
      <c r="E307" s="40">
        <v>100</v>
      </c>
    </row>
    <row r="308" spans="1:5" ht="14.5" x14ac:dyDescent="0.35">
      <c r="A308" s="38" t="s">
        <v>1003</v>
      </c>
      <c r="B308" s="38" t="s">
        <v>1063</v>
      </c>
      <c r="C308" s="40">
        <v>30.576899999999998</v>
      </c>
      <c r="D308" s="40">
        <v>69.423100000000005</v>
      </c>
      <c r="E308" s="40">
        <v>100</v>
      </c>
    </row>
    <row r="309" spans="1:5" ht="14.5" x14ac:dyDescent="0.35">
      <c r="A309" s="38" t="s">
        <v>1004</v>
      </c>
      <c r="B309" s="38" t="s">
        <v>1063</v>
      </c>
      <c r="C309" s="40">
        <v>2.0017</v>
      </c>
      <c r="D309" s="40">
        <v>97.9983</v>
      </c>
      <c r="E309" s="40">
        <v>100</v>
      </c>
    </row>
    <row r="310" spans="1:5" ht="14.5" x14ac:dyDescent="0.35">
      <c r="A310" s="38" t="s">
        <v>1005</v>
      </c>
      <c r="B310" s="38" t="s">
        <v>1063</v>
      </c>
      <c r="C310" s="40">
        <v>92.137299999999996</v>
      </c>
      <c r="D310" s="40">
        <v>7.8627000000000002</v>
      </c>
      <c r="E310" s="40">
        <v>100</v>
      </c>
    </row>
    <row r="311" spans="1:5" ht="14.5" x14ac:dyDescent="0.35">
      <c r="A311" s="38" t="s">
        <v>1006</v>
      </c>
      <c r="B311" s="38" t="s">
        <v>1063</v>
      </c>
      <c r="C311" s="40">
        <v>61.9129</v>
      </c>
      <c r="D311" s="40">
        <v>38.0871</v>
      </c>
      <c r="E311" s="40">
        <v>100</v>
      </c>
    </row>
    <row r="312" spans="1:5" ht="14.5" x14ac:dyDescent="0.35">
      <c r="A312" s="38" t="s">
        <v>1007</v>
      </c>
      <c r="B312" s="38" t="s">
        <v>1063</v>
      </c>
      <c r="C312" s="40">
        <v>8.4687999999999999</v>
      </c>
      <c r="D312" s="40">
        <v>91.531199999999998</v>
      </c>
      <c r="E312" s="40">
        <v>100</v>
      </c>
    </row>
    <row r="313" spans="1:5" ht="14.5" x14ac:dyDescent="0.35">
      <c r="A313" s="38" t="s">
        <v>1008</v>
      </c>
      <c r="B313" s="38" t="s">
        <v>1063</v>
      </c>
      <c r="C313" s="40">
        <v>80.825900000000004</v>
      </c>
      <c r="D313" s="40">
        <v>19.174099999999999</v>
      </c>
      <c r="E313" s="40">
        <v>100</v>
      </c>
    </row>
    <row r="314" spans="1:5" ht="14.5" x14ac:dyDescent="0.35">
      <c r="A314" s="38" t="s">
        <v>1009</v>
      </c>
      <c r="B314" s="38" t="s">
        <v>1063</v>
      </c>
      <c r="C314" s="40">
        <v>9.2993000000000006</v>
      </c>
      <c r="D314" s="40">
        <v>90.700699999999998</v>
      </c>
      <c r="E314" s="40">
        <v>100</v>
      </c>
    </row>
    <row r="315" spans="1:5" ht="14.5" x14ac:dyDescent="0.35">
      <c r="A315" s="38" t="s">
        <v>1010</v>
      </c>
      <c r="B315" s="38" t="s">
        <v>1063</v>
      </c>
      <c r="C315" s="40">
        <v>58.8108</v>
      </c>
      <c r="D315" s="40">
        <v>41.1892</v>
      </c>
      <c r="E315" s="40">
        <v>100</v>
      </c>
    </row>
    <row r="316" spans="1:5" ht="14.5" x14ac:dyDescent="0.35">
      <c r="A316" s="38" t="s">
        <v>1011</v>
      </c>
      <c r="B316" s="38" t="s">
        <v>1063</v>
      </c>
      <c r="C316" s="40">
        <v>20.216899999999999</v>
      </c>
      <c r="D316" s="40">
        <v>79.783100000000005</v>
      </c>
      <c r="E316" s="40">
        <v>100</v>
      </c>
    </row>
    <row r="317" spans="1:5" ht="14.5" x14ac:dyDescent="0.35">
      <c r="A317" s="38" t="s">
        <v>1012</v>
      </c>
      <c r="B317" s="38" t="s">
        <v>1063</v>
      </c>
      <c r="C317" s="40">
        <v>10.0463</v>
      </c>
      <c r="D317" s="40">
        <v>89.953699999999998</v>
      </c>
      <c r="E317" s="40">
        <v>100</v>
      </c>
    </row>
    <row r="318" spans="1:5" ht="14.5" x14ac:dyDescent="0.35">
      <c r="A318" s="38" t="s">
        <v>1013</v>
      </c>
      <c r="B318" s="38" t="s">
        <v>1063</v>
      </c>
      <c r="C318" s="40">
        <v>73.150400000000005</v>
      </c>
      <c r="D318" s="40">
        <v>26.849599999999999</v>
      </c>
      <c r="E318" s="40">
        <v>100</v>
      </c>
    </row>
    <row r="319" spans="1:5" ht="14.5" x14ac:dyDescent="0.35">
      <c r="A319" s="38" t="s">
        <v>1014</v>
      </c>
      <c r="B319" s="38" t="s">
        <v>1063</v>
      </c>
      <c r="C319" s="40">
        <v>58.528700000000001</v>
      </c>
      <c r="D319" s="40">
        <v>41.471299999999999</v>
      </c>
      <c r="E319" s="40">
        <v>100</v>
      </c>
    </row>
    <row r="320" spans="1:5" ht="14.5" x14ac:dyDescent="0.35">
      <c r="A320" s="38" t="s">
        <v>1015</v>
      </c>
      <c r="B320" s="38" t="s">
        <v>1063</v>
      </c>
      <c r="C320" s="40">
        <v>9.8292000000000002</v>
      </c>
      <c r="D320" s="40">
        <v>90.1708</v>
      </c>
      <c r="E320" s="40">
        <v>100</v>
      </c>
    </row>
    <row r="321" spans="1:5" ht="14.5" x14ac:dyDescent="0.35">
      <c r="A321" s="38" t="s">
        <v>1016</v>
      </c>
      <c r="B321" s="38" t="s">
        <v>1063</v>
      </c>
      <c r="C321" s="40">
        <v>50.403300000000002</v>
      </c>
      <c r="D321" s="40">
        <v>49.596699999999998</v>
      </c>
      <c r="E321" s="40">
        <v>100</v>
      </c>
    </row>
    <row r="322" spans="1:5" ht="14.5" x14ac:dyDescent="0.35">
      <c r="A322" s="38" t="s">
        <v>1017</v>
      </c>
      <c r="B322" s="38" t="s">
        <v>1063</v>
      </c>
      <c r="C322" s="40">
        <v>21.6129</v>
      </c>
      <c r="D322" s="40">
        <v>78.387100000000004</v>
      </c>
      <c r="E322" s="40">
        <v>100</v>
      </c>
    </row>
    <row r="323" spans="1:5" ht="14.5" x14ac:dyDescent="0.35">
      <c r="A323" s="38" t="s">
        <v>1018</v>
      </c>
      <c r="B323" s="38" t="s">
        <v>1063</v>
      </c>
      <c r="C323" s="40">
        <v>1.4134</v>
      </c>
      <c r="D323" s="40">
        <v>98.586600000000004</v>
      </c>
      <c r="E323" s="40">
        <v>100</v>
      </c>
    </row>
    <row r="324" spans="1:5" ht="14.5" x14ac:dyDescent="0.35">
      <c r="A324" s="38" t="s">
        <v>1019</v>
      </c>
      <c r="B324" s="38" t="s">
        <v>1063</v>
      </c>
      <c r="C324" s="40">
        <v>89.437700000000007</v>
      </c>
      <c r="D324" s="40">
        <v>10.5623</v>
      </c>
      <c r="E324" s="40">
        <v>100</v>
      </c>
    </row>
    <row r="325" spans="1:5" ht="14.5" x14ac:dyDescent="0.35">
      <c r="A325" s="38" t="s">
        <v>1020</v>
      </c>
      <c r="B325" s="38" t="s">
        <v>1063</v>
      </c>
      <c r="C325" s="40">
        <v>78.106800000000007</v>
      </c>
      <c r="D325" s="40">
        <v>21.8932</v>
      </c>
      <c r="E325" s="40">
        <v>100</v>
      </c>
    </row>
    <row r="326" spans="1:5" ht="14.5" x14ac:dyDescent="0.35">
      <c r="A326" s="38" t="s">
        <v>1021</v>
      </c>
      <c r="B326" s="38" t="s">
        <v>1063</v>
      </c>
      <c r="C326" s="40">
        <v>41.397100000000002</v>
      </c>
      <c r="D326" s="40">
        <v>58.602899999999998</v>
      </c>
      <c r="E326" s="40">
        <v>100</v>
      </c>
    </row>
    <row r="327" spans="1:5" ht="14.5" x14ac:dyDescent="0.35">
      <c r="A327" s="38" t="s">
        <v>1022</v>
      </c>
      <c r="B327" s="38" t="s">
        <v>1063</v>
      </c>
      <c r="C327" s="40">
        <v>2.6768999999999998</v>
      </c>
      <c r="D327" s="40">
        <v>97.323099999999997</v>
      </c>
      <c r="E327" s="40">
        <v>100</v>
      </c>
    </row>
    <row r="328" spans="1:5" ht="14.5" x14ac:dyDescent="0.35">
      <c r="A328" s="38" t="s">
        <v>1023</v>
      </c>
      <c r="B328" s="38" t="s">
        <v>1063</v>
      </c>
      <c r="C328" s="40">
        <v>93.577799999999996</v>
      </c>
      <c r="D328" s="40">
        <v>6.4222000000000001</v>
      </c>
      <c r="E328" s="40">
        <v>100</v>
      </c>
    </row>
    <row r="329" spans="1:5" ht="14.5" x14ac:dyDescent="0.35">
      <c r="A329" s="38" t="s">
        <v>1024</v>
      </c>
      <c r="B329" s="38" t="s">
        <v>1063</v>
      </c>
      <c r="C329" s="40">
        <v>72.682500000000005</v>
      </c>
      <c r="D329" s="40">
        <v>27.317499999999999</v>
      </c>
      <c r="E329" s="40">
        <v>100</v>
      </c>
    </row>
    <row r="330" spans="1:5" ht="14.5" x14ac:dyDescent="0.35">
      <c r="A330" s="38" t="s">
        <v>1025</v>
      </c>
      <c r="B330" s="38" t="s">
        <v>1063</v>
      </c>
      <c r="C330" s="40">
        <v>87.983099999999993</v>
      </c>
      <c r="D330" s="40">
        <v>12.0169</v>
      </c>
      <c r="E330" s="40">
        <v>100</v>
      </c>
    </row>
    <row r="331" spans="1:5" ht="14.5" x14ac:dyDescent="0.35">
      <c r="A331" s="38" t="s">
        <v>1026</v>
      </c>
      <c r="B331" s="38" t="s">
        <v>1063</v>
      </c>
      <c r="C331" s="40">
        <v>23.991199999999999</v>
      </c>
      <c r="D331" s="40">
        <v>76.008799999999994</v>
      </c>
      <c r="E331" s="40">
        <v>100</v>
      </c>
    </row>
    <row r="332" spans="1:5" ht="14.5" x14ac:dyDescent="0.35">
      <c r="A332" s="38" t="s">
        <v>1027</v>
      </c>
      <c r="B332" s="38" t="s">
        <v>1063</v>
      </c>
      <c r="C332" s="40">
        <v>0.2094</v>
      </c>
      <c r="D332" s="40">
        <v>99.790599999999998</v>
      </c>
      <c r="E332" s="40">
        <v>100</v>
      </c>
    </row>
    <row r="333" spans="1:5" ht="14.5" x14ac:dyDescent="0.35">
      <c r="A333" s="38" t="s">
        <v>1028</v>
      </c>
      <c r="B333" s="38" t="s">
        <v>1063</v>
      </c>
      <c r="C333" s="40">
        <v>78.481800000000007</v>
      </c>
      <c r="D333" s="40">
        <v>21.5182</v>
      </c>
      <c r="E333" s="40">
        <v>100</v>
      </c>
    </row>
    <row r="334" spans="1:5" ht="14.5" x14ac:dyDescent="0.35">
      <c r="A334" s="38" t="s">
        <v>1029</v>
      </c>
      <c r="B334" s="38" t="s">
        <v>1063</v>
      </c>
      <c r="C334" s="40">
        <v>32.277200000000001</v>
      </c>
      <c r="D334" s="40">
        <v>67.722800000000007</v>
      </c>
      <c r="E334" s="40">
        <v>100</v>
      </c>
    </row>
    <row r="335" spans="1:5" ht="14.5" x14ac:dyDescent="0.35">
      <c r="A335" s="38" t="s">
        <v>1030</v>
      </c>
      <c r="B335" s="38" t="s">
        <v>1063</v>
      </c>
      <c r="C335" s="40">
        <v>20.777000000000001</v>
      </c>
      <c r="D335" s="40">
        <v>79.222999999999999</v>
      </c>
      <c r="E335" s="40">
        <v>100</v>
      </c>
    </row>
    <row r="336" spans="1:5" ht="14.5" x14ac:dyDescent="0.35">
      <c r="A336" s="38" t="s">
        <v>1031</v>
      </c>
      <c r="B336" s="38" t="s">
        <v>1063</v>
      </c>
      <c r="C336" s="40">
        <v>0.81899999999999995</v>
      </c>
      <c r="D336" s="40">
        <v>99.180999999999997</v>
      </c>
      <c r="E336" s="40">
        <v>100</v>
      </c>
    </row>
    <row r="337" spans="1:5" ht="14.5" x14ac:dyDescent="0.35">
      <c r="A337" s="38" t="s">
        <v>1032</v>
      </c>
      <c r="B337" s="38" t="s">
        <v>1063</v>
      </c>
      <c r="C337" s="40">
        <v>74.788499999999999</v>
      </c>
      <c r="D337" s="40">
        <v>25.211500000000001</v>
      </c>
      <c r="E337" s="40">
        <v>100</v>
      </c>
    </row>
    <row r="338" spans="1:5" ht="14.5" x14ac:dyDescent="0.35">
      <c r="A338" s="38" t="s">
        <v>1033</v>
      </c>
      <c r="B338" s="38" t="s">
        <v>1063</v>
      </c>
      <c r="C338" s="40">
        <v>21.875399999999999</v>
      </c>
      <c r="D338" s="40">
        <v>78.124600000000001</v>
      </c>
      <c r="E338" s="40">
        <v>100</v>
      </c>
    </row>
    <row r="339" spans="1:5" ht="14.5" x14ac:dyDescent="0.35">
      <c r="A339" s="38" t="s">
        <v>1034</v>
      </c>
      <c r="B339" s="38" t="s">
        <v>1063</v>
      </c>
      <c r="C339" s="40">
        <v>1.3379000000000001</v>
      </c>
      <c r="D339" s="40">
        <v>98.662099999999995</v>
      </c>
      <c r="E339" s="40">
        <v>100</v>
      </c>
    </row>
    <row r="340" spans="1:5" ht="14.5" x14ac:dyDescent="0.35">
      <c r="A340" s="38" t="s">
        <v>1035</v>
      </c>
      <c r="B340" s="38" t="s">
        <v>1063</v>
      </c>
      <c r="C340" s="40">
        <v>80.455699999999993</v>
      </c>
      <c r="D340" s="40">
        <v>19.5443</v>
      </c>
      <c r="E340" s="40">
        <v>100</v>
      </c>
    </row>
    <row r="341" spans="1:5" ht="14.5" x14ac:dyDescent="0.35">
      <c r="A341" s="38" t="s">
        <v>1036</v>
      </c>
      <c r="B341" s="38" t="s">
        <v>1063</v>
      </c>
      <c r="C341" s="40">
        <v>38.378399999999999</v>
      </c>
      <c r="D341" s="40">
        <v>61.621600000000001</v>
      </c>
      <c r="E341" s="40">
        <v>100</v>
      </c>
    </row>
    <row r="342" spans="1:5" ht="14.5" x14ac:dyDescent="0.35">
      <c r="A342" s="38" t="s">
        <v>1037</v>
      </c>
      <c r="B342" s="38" t="s">
        <v>1063</v>
      </c>
      <c r="C342" s="40">
        <v>5.9817</v>
      </c>
      <c r="D342" s="40">
        <v>94.018299999999996</v>
      </c>
      <c r="E342" s="40">
        <v>100</v>
      </c>
    </row>
    <row r="343" spans="1:5" ht="14.5" x14ac:dyDescent="0.35">
      <c r="A343" s="38" t="s">
        <v>1038</v>
      </c>
      <c r="B343" s="38" t="s">
        <v>1063</v>
      </c>
      <c r="C343" s="40">
        <v>54.219200000000001</v>
      </c>
      <c r="D343" s="40">
        <v>45.780799999999999</v>
      </c>
      <c r="E343" s="40">
        <v>100</v>
      </c>
    </row>
    <row r="344" spans="1:5" ht="14.5" x14ac:dyDescent="0.35">
      <c r="A344" s="38" t="s">
        <v>1039</v>
      </c>
      <c r="B344" s="38" t="s">
        <v>1063</v>
      </c>
      <c r="C344" s="40">
        <v>47.256700000000002</v>
      </c>
      <c r="D344" s="40">
        <v>52.743299999999998</v>
      </c>
      <c r="E344" s="40">
        <v>100</v>
      </c>
    </row>
    <row r="345" spans="1:5" ht="14.5" x14ac:dyDescent="0.35">
      <c r="A345" s="38" t="s">
        <v>1040</v>
      </c>
      <c r="B345" s="38" t="s">
        <v>1063</v>
      </c>
      <c r="C345" s="40">
        <v>3.6252</v>
      </c>
      <c r="D345" s="40">
        <v>96.374799999999993</v>
      </c>
      <c r="E345" s="40">
        <v>100</v>
      </c>
    </row>
    <row r="346" spans="1:5" ht="14.5" x14ac:dyDescent="0.35">
      <c r="A346" s="38" t="s">
        <v>1041</v>
      </c>
      <c r="B346" s="38" t="s">
        <v>1063</v>
      </c>
      <c r="C346" s="40">
        <v>69.080200000000005</v>
      </c>
      <c r="D346" s="40">
        <v>30.919799999999999</v>
      </c>
      <c r="E346" s="40">
        <v>100</v>
      </c>
    </row>
    <row r="347" spans="1:5" ht="14.5" x14ac:dyDescent="0.35">
      <c r="A347" s="38" t="s">
        <v>1042</v>
      </c>
      <c r="B347" s="38" t="s">
        <v>1063</v>
      </c>
      <c r="C347" s="40">
        <v>7.1364000000000001</v>
      </c>
      <c r="D347" s="40">
        <v>92.863600000000005</v>
      </c>
      <c r="E347" s="40">
        <v>100</v>
      </c>
    </row>
    <row r="348" spans="1:5" ht="14.5" x14ac:dyDescent="0.35">
      <c r="A348" s="38" t="s">
        <v>1043</v>
      </c>
      <c r="B348" s="38" t="s">
        <v>1063</v>
      </c>
      <c r="C348" s="40">
        <v>73.031199999999998</v>
      </c>
      <c r="D348" s="40">
        <v>26.968800000000002</v>
      </c>
      <c r="E348" s="40">
        <v>100</v>
      </c>
    </row>
    <row r="349" spans="1:5" ht="14.5" x14ac:dyDescent="0.35">
      <c r="A349" s="38" t="s">
        <v>1044</v>
      </c>
      <c r="B349" s="38" t="s">
        <v>1063</v>
      </c>
      <c r="C349" s="40">
        <v>9.6739999999999995</v>
      </c>
      <c r="D349" s="40">
        <v>90.325999999999993</v>
      </c>
      <c r="E349" s="40">
        <v>100</v>
      </c>
    </row>
    <row r="350" spans="1:5" ht="14.5" x14ac:dyDescent="0.35">
      <c r="A350" s="38" t="s">
        <v>1045</v>
      </c>
      <c r="B350" s="38" t="s">
        <v>1063</v>
      </c>
      <c r="C350" s="40">
        <v>47.399700000000003</v>
      </c>
      <c r="D350" s="40">
        <v>52.600299999999997</v>
      </c>
      <c r="E350" s="40">
        <v>100</v>
      </c>
    </row>
    <row r="351" spans="1:5" ht="14.5" x14ac:dyDescent="0.35">
      <c r="A351" s="38" t="s">
        <v>1046</v>
      </c>
      <c r="B351" s="38" t="s">
        <v>1063</v>
      </c>
      <c r="C351" s="40">
        <v>4.6597999999999997</v>
      </c>
      <c r="D351" s="40">
        <v>95.340199999999996</v>
      </c>
      <c r="E351" s="40">
        <v>100</v>
      </c>
    </row>
    <row r="352" spans="1:5" ht="14.5" x14ac:dyDescent="0.35">
      <c r="A352" s="38" t="s">
        <v>1047</v>
      </c>
      <c r="B352" s="38" t="s">
        <v>1063</v>
      </c>
      <c r="C352" s="40">
        <v>86.760999999999996</v>
      </c>
      <c r="D352" s="40">
        <v>13.239000000000001</v>
      </c>
      <c r="E352" s="40">
        <v>100</v>
      </c>
    </row>
    <row r="353" spans="1:5" ht="14.5" x14ac:dyDescent="0.35">
      <c r="A353" s="38" t="s">
        <v>1048</v>
      </c>
      <c r="B353" s="38" t="s">
        <v>1063</v>
      </c>
      <c r="C353" s="40">
        <v>53.316099999999999</v>
      </c>
      <c r="D353" s="40">
        <v>46.683900000000001</v>
      </c>
      <c r="E353" s="40">
        <v>100</v>
      </c>
    </row>
    <row r="354" spans="1:5" ht="14.5" x14ac:dyDescent="0.35">
      <c r="A354" s="38" t="s">
        <v>1049</v>
      </c>
      <c r="B354" s="38" t="s">
        <v>1063</v>
      </c>
      <c r="C354" s="40">
        <v>4.9382999999999999</v>
      </c>
      <c r="D354" s="40">
        <v>95.061700000000002</v>
      </c>
      <c r="E354" s="40">
        <v>100</v>
      </c>
    </row>
    <row r="355" spans="1:5" ht="14.5" x14ac:dyDescent="0.35">
      <c r="A355" s="38" t="s">
        <v>1050</v>
      </c>
      <c r="B355" s="38" t="s">
        <v>1063</v>
      </c>
      <c r="C355" s="40">
        <v>40.134300000000003</v>
      </c>
      <c r="D355" s="40">
        <v>59.865699999999997</v>
      </c>
      <c r="E355" s="40">
        <v>100</v>
      </c>
    </row>
    <row r="356" spans="1:5" ht="14.5" x14ac:dyDescent="0.35">
      <c r="A356" s="38" t="s">
        <v>1051</v>
      </c>
      <c r="B356" s="38" t="s">
        <v>1063</v>
      </c>
      <c r="C356" s="40">
        <v>16.875800000000002</v>
      </c>
      <c r="D356" s="40">
        <v>83.124200000000002</v>
      </c>
      <c r="E356" s="40">
        <v>100</v>
      </c>
    </row>
    <row r="357" spans="1:5" ht="14.5" x14ac:dyDescent="0.35">
      <c r="A357" s="38" t="s">
        <v>1052</v>
      </c>
      <c r="B357" s="38" t="s">
        <v>1063</v>
      </c>
      <c r="C357" s="40">
        <v>0.46310000000000001</v>
      </c>
      <c r="D357" s="40">
        <v>99.536900000000003</v>
      </c>
      <c r="E357" s="40">
        <v>100</v>
      </c>
    </row>
    <row r="358" spans="1:5" ht="14.5" x14ac:dyDescent="0.35">
      <c r="A358" s="38" t="s">
        <v>1053</v>
      </c>
      <c r="B358" s="38" t="s">
        <v>1063</v>
      </c>
      <c r="C358" s="40">
        <v>37.7742</v>
      </c>
      <c r="D358" s="40">
        <v>62.2258</v>
      </c>
      <c r="E358" s="40">
        <v>100</v>
      </c>
    </row>
    <row r="359" spans="1:5" ht="14.5" x14ac:dyDescent="0.35">
      <c r="A359" s="38" t="s">
        <v>1054</v>
      </c>
      <c r="B359" s="38" t="s">
        <v>1063</v>
      </c>
      <c r="C359" s="40">
        <v>22.805599999999998</v>
      </c>
      <c r="D359" s="40">
        <v>77.194400000000002</v>
      </c>
      <c r="E359" s="40">
        <v>100</v>
      </c>
    </row>
    <row r="360" spans="1:5" ht="14.5" x14ac:dyDescent="0.35">
      <c r="A360" s="38" t="s">
        <v>1055</v>
      </c>
      <c r="B360" s="38" t="s">
        <v>1063</v>
      </c>
      <c r="C360" s="40">
        <v>51.76</v>
      </c>
      <c r="D360" s="40">
        <v>48.24</v>
      </c>
      <c r="E360" s="40">
        <v>100</v>
      </c>
    </row>
    <row r="361" spans="1:5" ht="14.5" x14ac:dyDescent="0.35">
      <c r="A361" s="38" t="s">
        <v>1056</v>
      </c>
      <c r="B361" s="38" t="s">
        <v>1063</v>
      </c>
      <c r="C361" s="40">
        <v>5.8954000000000004</v>
      </c>
      <c r="D361" s="40">
        <v>94.104600000000005</v>
      </c>
      <c r="E361" s="40">
        <v>100</v>
      </c>
    </row>
    <row r="362" spans="1:5" ht="14.5" x14ac:dyDescent="0.35">
      <c r="A362" s="38" t="s">
        <v>1057</v>
      </c>
      <c r="B362" s="38" t="s">
        <v>1063</v>
      </c>
      <c r="C362" s="40">
        <v>27.783000000000001</v>
      </c>
      <c r="D362" s="40">
        <v>72.216999999999999</v>
      </c>
      <c r="E362" s="40">
        <v>100</v>
      </c>
    </row>
    <row r="363" spans="1:5" ht="14.5" x14ac:dyDescent="0.35">
      <c r="A363" s="38" t="s">
        <v>1058</v>
      </c>
      <c r="B363" s="38" t="s">
        <v>1063</v>
      </c>
      <c r="C363" s="40">
        <v>1.9858</v>
      </c>
      <c r="D363" s="40">
        <v>98.014200000000002</v>
      </c>
      <c r="E363" s="40">
        <v>100</v>
      </c>
    </row>
    <row r="364" spans="1:5" ht="14.5" x14ac:dyDescent="0.35">
      <c r="A364" s="38" t="s">
        <v>1059</v>
      </c>
      <c r="B364" s="38" t="s">
        <v>1063</v>
      </c>
      <c r="C364" s="40">
        <v>16.0594</v>
      </c>
      <c r="D364" s="40">
        <v>83.940600000000003</v>
      </c>
      <c r="E364" s="40">
        <v>100</v>
      </c>
    </row>
    <row r="365" spans="1:5" ht="14.5" x14ac:dyDescent="0.35">
      <c r="A365" s="38" t="s">
        <v>1060</v>
      </c>
      <c r="B365" s="38" t="s">
        <v>1063</v>
      </c>
      <c r="C365" s="40">
        <v>29.677399999999999</v>
      </c>
      <c r="D365" s="40">
        <v>70.322599999999994</v>
      </c>
      <c r="E365" s="40">
        <v>100</v>
      </c>
    </row>
    <row r="366" spans="1:5" ht="14.5" x14ac:dyDescent="0.35">
      <c r="A366" s="41" t="s">
        <v>304</v>
      </c>
      <c r="B366" s="41" t="s">
        <v>1063</v>
      </c>
      <c r="C366" s="43">
        <v>30.236899999999999</v>
      </c>
      <c r="D366" s="43">
        <v>69.763099999999994</v>
      </c>
      <c r="E366" s="43">
        <v>100</v>
      </c>
    </row>
    <row r="367" spans="1:5" ht="14.5" x14ac:dyDescent="0.35">
      <c r="A367" s="98" t="s">
        <v>877</v>
      </c>
      <c r="B367" s="99"/>
      <c r="C367" s="99"/>
      <c r="D367" s="99"/>
      <c r="E367" s="99"/>
    </row>
    <row r="368" spans="1:5" ht="14.5" x14ac:dyDescent="0.35">
      <c r="A368" s="44"/>
      <c r="B368" s="35"/>
      <c r="C368" s="35"/>
      <c r="D368" s="35"/>
      <c r="E368" s="35"/>
    </row>
    <row r="369" spans="1:5" ht="14.5" x14ac:dyDescent="0.35">
      <c r="A369" s="35" t="s">
        <v>290</v>
      </c>
      <c r="B369" s="35"/>
      <c r="C369" s="35"/>
      <c r="D369" s="35"/>
      <c r="E369" s="35"/>
    </row>
    <row r="370" spans="1:5" ht="14.5" x14ac:dyDescent="0.35">
      <c r="A370" s="45" t="s">
        <v>291</v>
      </c>
      <c r="B370" s="35"/>
      <c r="C370" s="35"/>
      <c r="D370" s="35"/>
      <c r="E370" s="35"/>
    </row>
    <row r="371" spans="1:5" ht="14.5" x14ac:dyDescent="0.35">
      <c r="A371" s="35"/>
      <c r="B371" s="35"/>
      <c r="C371" s="35"/>
      <c r="D371" s="35"/>
      <c r="E371" s="35"/>
    </row>
    <row r="372" spans="1:5" ht="14.5" x14ac:dyDescent="0.35">
      <c r="A372" s="45" t="s">
        <v>3</v>
      </c>
      <c r="B372" s="35"/>
      <c r="C372" s="35"/>
      <c r="D372" s="35"/>
      <c r="E372" s="35"/>
    </row>
    <row r="373" spans="1:5" ht="14.5" x14ac:dyDescent="0.35">
      <c r="A373" s="35"/>
      <c r="B373" s="35"/>
      <c r="C373" s="35"/>
      <c r="D373" s="35"/>
      <c r="E373" s="35"/>
    </row>
    <row r="374" spans="1:5" ht="14.5" x14ac:dyDescent="0.35">
      <c r="A374" s="45" t="s">
        <v>292</v>
      </c>
      <c r="B374" s="35"/>
      <c r="C374" s="35"/>
      <c r="D374" s="35"/>
      <c r="E374" s="35"/>
    </row>
  </sheetData>
  <mergeCells count="2">
    <mergeCell ref="A1:E1"/>
    <mergeCell ref="A367:E367"/>
  </mergeCells>
  <hyperlinks>
    <hyperlink ref="A370" r:id="rId1" xr:uid="{00000000-0004-0000-2F00-000000000000}"/>
    <hyperlink ref="A372" location="'Technical specifications'!A1" display="Technical specifications" xr:uid="{00000000-0004-0000-2F00-000001000000}"/>
    <hyperlink ref="A374" location="Contents!A1" display="Back to contents" xr:uid="{00000000-0004-0000-2F00-000002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G36"/>
  <sheetViews>
    <sheetView workbookViewId="0">
      <selection sqref="A1:G1"/>
    </sheetView>
  </sheetViews>
  <sheetFormatPr defaultRowHeight="14.75" customHeight="1" x14ac:dyDescent="0.35"/>
  <cols>
    <col min="1" max="1" width="20" customWidth="1"/>
    <col min="2" max="7" width="14.36328125" customWidth="1"/>
  </cols>
  <sheetData>
    <row r="1" spans="1:7" ht="33.75" customHeight="1" x14ac:dyDescent="0.35">
      <c r="A1" s="96" t="s">
        <v>57</v>
      </c>
      <c r="B1" s="97"/>
      <c r="C1" s="97"/>
      <c r="D1" s="97"/>
      <c r="E1" s="97"/>
      <c r="F1" s="97"/>
      <c r="G1" s="97"/>
    </row>
    <row r="2" spans="1:7" ht="14.5" x14ac:dyDescent="0.35">
      <c r="A2" s="36" t="s">
        <v>1064</v>
      </c>
      <c r="B2" s="37" t="s">
        <v>343</v>
      </c>
      <c r="C2" s="37" t="s">
        <v>344</v>
      </c>
      <c r="D2" s="37" t="s">
        <v>345</v>
      </c>
      <c r="E2" s="37" t="s">
        <v>346</v>
      </c>
      <c r="F2" s="37" t="s">
        <v>347</v>
      </c>
      <c r="G2" s="57" t="s">
        <v>1285</v>
      </c>
    </row>
    <row r="3" spans="1:7" ht="14.5" x14ac:dyDescent="0.35">
      <c r="A3" s="38" t="s">
        <v>1065</v>
      </c>
      <c r="B3" s="39">
        <v>2880</v>
      </c>
      <c r="C3" s="39">
        <v>43076</v>
      </c>
      <c r="D3" s="39">
        <v>91791</v>
      </c>
      <c r="E3" s="39">
        <v>56039</v>
      </c>
      <c r="F3" s="39">
        <v>7182</v>
      </c>
      <c r="G3" s="39">
        <v>201034</v>
      </c>
    </row>
    <row r="4" spans="1:7" ht="14.5" x14ac:dyDescent="0.35">
      <c r="A4" s="38" t="s">
        <v>1066</v>
      </c>
      <c r="B4" s="39">
        <v>2600</v>
      </c>
      <c r="C4" s="39">
        <v>36753</v>
      </c>
      <c r="D4" s="39">
        <v>77700</v>
      </c>
      <c r="E4" s="39">
        <v>45707</v>
      </c>
      <c r="F4" s="39">
        <v>5712</v>
      </c>
      <c r="G4" s="39">
        <v>168508</v>
      </c>
    </row>
    <row r="5" spans="1:7" ht="14.5" x14ac:dyDescent="0.35">
      <c r="A5" s="38" t="s">
        <v>1067</v>
      </c>
      <c r="B5" s="39">
        <v>2277</v>
      </c>
      <c r="C5" s="39">
        <v>32135</v>
      </c>
      <c r="D5" s="39">
        <v>68166</v>
      </c>
      <c r="E5" s="39">
        <v>39057</v>
      </c>
      <c r="F5" s="39">
        <v>4754</v>
      </c>
      <c r="G5" s="39">
        <v>146421</v>
      </c>
    </row>
    <row r="6" spans="1:7" ht="14.5" x14ac:dyDescent="0.35">
      <c r="A6" s="38" t="s">
        <v>1068</v>
      </c>
      <c r="B6" s="39">
        <v>2138</v>
      </c>
      <c r="C6" s="39">
        <v>28333</v>
      </c>
      <c r="D6" s="39">
        <v>61075</v>
      </c>
      <c r="E6" s="39">
        <v>34458</v>
      </c>
      <c r="F6" s="39">
        <v>4298</v>
      </c>
      <c r="G6" s="39">
        <v>130326</v>
      </c>
    </row>
    <row r="7" spans="1:7" ht="14.5" x14ac:dyDescent="0.35">
      <c r="A7" s="38" t="s">
        <v>1069</v>
      </c>
      <c r="B7" s="39">
        <v>1952</v>
      </c>
      <c r="C7" s="39">
        <v>26076</v>
      </c>
      <c r="D7" s="39">
        <v>56897</v>
      </c>
      <c r="E7" s="39">
        <v>32537</v>
      </c>
      <c r="F7" s="39">
        <v>3950</v>
      </c>
      <c r="G7" s="39">
        <v>121432</v>
      </c>
    </row>
    <row r="8" spans="1:7" ht="14.5" x14ac:dyDescent="0.35">
      <c r="A8" s="38" t="s">
        <v>1070</v>
      </c>
      <c r="B8" s="39">
        <v>1917</v>
      </c>
      <c r="C8" s="39">
        <v>26041</v>
      </c>
      <c r="D8" s="39">
        <v>58213</v>
      </c>
      <c r="E8" s="39">
        <v>35422</v>
      </c>
      <c r="F8" s="39">
        <v>4702</v>
      </c>
      <c r="G8" s="39">
        <v>126320</v>
      </c>
    </row>
    <row r="9" spans="1:7" ht="14.5" x14ac:dyDescent="0.35">
      <c r="A9" s="38" t="s">
        <v>1071</v>
      </c>
      <c r="B9" s="39">
        <v>1942</v>
      </c>
      <c r="C9" s="39">
        <v>27766</v>
      </c>
      <c r="D9" s="39">
        <v>64983</v>
      </c>
      <c r="E9" s="39">
        <v>50045</v>
      </c>
      <c r="F9" s="39">
        <v>9152</v>
      </c>
      <c r="G9" s="39">
        <v>153936</v>
      </c>
    </row>
    <row r="10" spans="1:7" ht="14.5" x14ac:dyDescent="0.35">
      <c r="A10" s="38" t="s">
        <v>1072</v>
      </c>
      <c r="B10" s="39">
        <v>2207</v>
      </c>
      <c r="C10" s="39">
        <v>35809</v>
      </c>
      <c r="D10" s="39">
        <v>92255</v>
      </c>
      <c r="E10" s="39">
        <v>95422</v>
      </c>
      <c r="F10" s="39">
        <v>24132</v>
      </c>
      <c r="G10" s="39">
        <v>249879</v>
      </c>
    </row>
    <row r="11" spans="1:7" ht="14.5" x14ac:dyDescent="0.35">
      <c r="A11" s="38" t="s">
        <v>1073</v>
      </c>
      <c r="B11" s="39">
        <v>2983</v>
      </c>
      <c r="C11" s="39">
        <v>52639</v>
      </c>
      <c r="D11" s="39">
        <v>136572</v>
      </c>
      <c r="E11" s="39">
        <v>148208</v>
      </c>
      <c r="F11" s="39">
        <v>39831</v>
      </c>
      <c r="G11" s="39">
        <v>380330</v>
      </c>
    </row>
    <row r="12" spans="1:7" ht="14.5" x14ac:dyDescent="0.35">
      <c r="A12" s="38" t="s">
        <v>1074</v>
      </c>
      <c r="B12" s="39">
        <v>3906</v>
      </c>
      <c r="C12" s="39">
        <v>73608</v>
      </c>
      <c r="D12" s="39">
        <v>188013</v>
      </c>
      <c r="E12" s="39">
        <v>195531</v>
      </c>
      <c r="F12" s="39">
        <v>50171</v>
      </c>
      <c r="G12" s="39">
        <v>511401</v>
      </c>
    </row>
    <row r="13" spans="1:7" ht="14.5" x14ac:dyDescent="0.35">
      <c r="A13" s="38" t="s">
        <v>1075</v>
      </c>
      <c r="B13" s="39">
        <v>4396</v>
      </c>
      <c r="C13" s="39">
        <v>90049</v>
      </c>
      <c r="D13" s="39">
        <v>223978</v>
      </c>
      <c r="E13" s="39">
        <v>211950</v>
      </c>
      <c r="F13" s="39">
        <v>49626</v>
      </c>
      <c r="G13" s="39">
        <v>580226</v>
      </c>
    </row>
    <row r="14" spans="1:7" ht="14.5" x14ac:dyDescent="0.35">
      <c r="A14" s="38" t="s">
        <v>1076</v>
      </c>
      <c r="B14" s="39">
        <v>4708</v>
      </c>
      <c r="C14" s="39">
        <v>98502</v>
      </c>
      <c r="D14" s="39">
        <v>239242</v>
      </c>
      <c r="E14" s="39">
        <v>207832</v>
      </c>
      <c r="F14" s="39">
        <v>44412</v>
      </c>
      <c r="G14" s="39">
        <v>594918</v>
      </c>
    </row>
    <row r="15" spans="1:7" ht="14.5" x14ac:dyDescent="0.35">
      <c r="A15" s="38" t="s">
        <v>1077</v>
      </c>
      <c r="B15" s="39">
        <v>4921</v>
      </c>
      <c r="C15" s="39">
        <v>100159</v>
      </c>
      <c r="D15" s="39">
        <v>239875</v>
      </c>
      <c r="E15" s="39">
        <v>195244</v>
      </c>
      <c r="F15" s="39">
        <v>37782</v>
      </c>
      <c r="G15" s="39">
        <v>578208</v>
      </c>
    </row>
    <row r="16" spans="1:7" ht="14.5" x14ac:dyDescent="0.35">
      <c r="A16" s="38" t="s">
        <v>1078</v>
      </c>
      <c r="B16" s="39">
        <v>4760</v>
      </c>
      <c r="C16" s="39">
        <v>99363</v>
      </c>
      <c r="D16" s="39">
        <v>237608</v>
      </c>
      <c r="E16" s="39">
        <v>190770</v>
      </c>
      <c r="F16" s="39">
        <v>35327</v>
      </c>
      <c r="G16" s="39">
        <v>568066</v>
      </c>
    </row>
    <row r="17" spans="1:7" ht="14.5" x14ac:dyDescent="0.35">
      <c r="A17" s="38" t="s">
        <v>1079</v>
      </c>
      <c r="B17" s="39">
        <v>4783</v>
      </c>
      <c r="C17" s="39">
        <v>96987</v>
      </c>
      <c r="D17" s="39">
        <v>234561</v>
      </c>
      <c r="E17" s="39">
        <v>188197</v>
      </c>
      <c r="F17" s="39">
        <v>35337</v>
      </c>
      <c r="G17" s="39">
        <v>560094</v>
      </c>
    </row>
    <row r="18" spans="1:7" ht="14.5" x14ac:dyDescent="0.35">
      <c r="A18" s="38" t="s">
        <v>1080</v>
      </c>
      <c r="B18" s="39">
        <v>4499</v>
      </c>
      <c r="C18" s="39">
        <v>94891</v>
      </c>
      <c r="D18" s="39">
        <v>227017</v>
      </c>
      <c r="E18" s="39">
        <v>183718</v>
      </c>
      <c r="F18" s="39">
        <v>33579</v>
      </c>
      <c r="G18" s="39">
        <v>543947</v>
      </c>
    </row>
    <row r="19" spans="1:7" ht="14.5" x14ac:dyDescent="0.35">
      <c r="A19" s="38" t="s">
        <v>1081</v>
      </c>
      <c r="B19" s="39">
        <v>4668</v>
      </c>
      <c r="C19" s="39">
        <v>95399</v>
      </c>
      <c r="D19" s="39">
        <v>225675</v>
      </c>
      <c r="E19" s="39">
        <v>183967</v>
      </c>
      <c r="F19" s="39">
        <v>31671</v>
      </c>
      <c r="G19" s="39">
        <v>541578</v>
      </c>
    </row>
    <row r="20" spans="1:7" ht="14.5" x14ac:dyDescent="0.35">
      <c r="A20" s="38" t="s">
        <v>1082</v>
      </c>
      <c r="B20" s="39">
        <v>4717</v>
      </c>
      <c r="C20" s="39">
        <v>93568</v>
      </c>
      <c r="D20" s="39">
        <v>219577</v>
      </c>
      <c r="E20" s="39">
        <v>174691</v>
      </c>
      <c r="F20" s="39">
        <v>27703</v>
      </c>
      <c r="G20" s="39">
        <v>520428</v>
      </c>
    </row>
    <row r="21" spans="1:7" ht="14.5" x14ac:dyDescent="0.35">
      <c r="A21" s="38" t="s">
        <v>1083</v>
      </c>
      <c r="B21" s="39">
        <v>4757</v>
      </c>
      <c r="C21" s="39">
        <v>92253</v>
      </c>
      <c r="D21" s="39">
        <v>214498</v>
      </c>
      <c r="E21" s="39">
        <v>168567</v>
      </c>
      <c r="F21" s="39">
        <v>24273</v>
      </c>
      <c r="G21" s="39">
        <v>504514</v>
      </c>
    </row>
    <row r="22" spans="1:7" ht="14.5" x14ac:dyDescent="0.35">
      <c r="A22" s="38" t="s">
        <v>1084</v>
      </c>
      <c r="B22" s="39">
        <v>4544</v>
      </c>
      <c r="C22" s="39">
        <v>89494</v>
      </c>
      <c r="D22" s="39">
        <v>207006</v>
      </c>
      <c r="E22" s="39">
        <v>165476</v>
      </c>
      <c r="F22" s="39">
        <v>23019</v>
      </c>
      <c r="G22" s="39">
        <v>489710</v>
      </c>
    </row>
    <row r="23" spans="1:7" ht="14.5" x14ac:dyDescent="0.35">
      <c r="A23" s="38" t="s">
        <v>1085</v>
      </c>
      <c r="B23" s="39">
        <v>4394</v>
      </c>
      <c r="C23" s="39">
        <v>84818</v>
      </c>
      <c r="D23" s="39">
        <v>196066</v>
      </c>
      <c r="E23" s="39">
        <v>149827</v>
      </c>
      <c r="F23" s="39">
        <v>20111</v>
      </c>
      <c r="G23" s="39">
        <v>455398</v>
      </c>
    </row>
    <row r="24" spans="1:7" ht="14.5" x14ac:dyDescent="0.35">
      <c r="A24" s="38" t="s">
        <v>1086</v>
      </c>
      <c r="B24" s="39">
        <v>3974</v>
      </c>
      <c r="C24" s="39">
        <v>74076</v>
      </c>
      <c r="D24" s="39">
        <v>169768</v>
      </c>
      <c r="E24" s="39">
        <v>124861</v>
      </c>
      <c r="F24" s="39">
        <v>16139</v>
      </c>
      <c r="G24" s="39">
        <v>388964</v>
      </c>
    </row>
    <row r="25" spans="1:7" ht="14.5" x14ac:dyDescent="0.35">
      <c r="A25" s="38" t="s">
        <v>1087</v>
      </c>
      <c r="B25" s="39">
        <v>3546</v>
      </c>
      <c r="C25" s="39">
        <v>64420</v>
      </c>
      <c r="D25" s="39">
        <v>144364</v>
      </c>
      <c r="E25" s="39">
        <v>99128</v>
      </c>
      <c r="F25" s="39">
        <v>12834</v>
      </c>
      <c r="G25" s="39">
        <v>324409</v>
      </c>
    </row>
    <row r="26" spans="1:7" ht="14.5" x14ac:dyDescent="0.35">
      <c r="A26" s="38" t="s">
        <v>1088</v>
      </c>
      <c r="B26" s="39">
        <v>3362</v>
      </c>
      <c r="C26" s="39">
        <v>52199</v>
      </c>
      <c r="D26" s="39">
        <v>114776</v>
      </c>
      <c r="E26" s="39">
        <v>74336</v>
      </c>
      <c r="F26" s="39">
        <v>9524</v>
      </c>
      <c r="G26" s="39">
        <v>254265</v>
      </c>
    </row>
    <row r="27" spans="1:7" ht="14.5" x14ac:dyDescent="0.35">
      <c r="A27" s="59" t="s">
        <v>1275</v>
      </c>
      <c r="B27" s="42">
        <v>86831</v>
      </c>
      <c r="C27" s="42">
        <v>1608414</v>
      </c>
      <c r="D27" s="42">
        <v>3789676</v>
      </c>
      <c r="E27" s="42">
        <v>3050990</v>
      </c>
      <c r="F27" s="42">
        <v>555221</v>
      </c>
      <c r="G27" s="42">
        <v>9094312</v>
      </c>
    </row>
    <row r="28" spans="1:7" ht="14.5" x14ac:dyDescent="0.35">
      <c r="A28" s="98" t="s">
        <v>1089</v>
      </c>
      <c r="B28" s="99"/>
      <c r="C28" s="99"/>
      <c r="D28" s="99"/>
      <c r="E28" s="99"/>
      <c r="F28" s="99"/>
      <c r="G28" s="99"/>
    </row>
    <row r="29" spans="1:7" ht="14.5" x14ac:dyDescent="0.35">
      <c r="A29" s="98" t="s">
        <v>1090</v>
      </c>
      <c r="B29" s="99"/>
      <c r="C29" s="99"/>
      <c r="D29" s="99"/>
      <c r="E29" s="99"/>
      <c r="F29" s="99"/>
      <c r="G29" s="99"/>
    </row>
    <row r="30" spans="1:7" ht="14.5" x14ac:dyDescent="0.35">
      <c r="A30" s="44"/>
      <c r="B30" s="35"/>
      <c r="C30" s="35"/>
      <c r="D30" s="35"/>
      <c r="E30" s="35"/>
      <c r="F30" s="35"/>
      <c r="G30" s="35"/>
    </row>
    <row r="31" spans="1:7" ht="14.5" x14ac:dyDescent="0.35">
      <c r="A31" s="35" t="s">
        <v>290</v>
      </c>
      <c r="B31" s="35"/>
      <c r="C31" s="35"/>
      <c r="D31" s="35"/>
      <c r="E31" s="35"/>
      <c r="F31" s="35"/>
      <c r="G31" s="35"/>
    </row>
    <row r="32" spans="1:7" ht="14.5" x14ac:dyDescent="0.35">
      <c r="A32" s="45" t="s">
        <v>291</v>
      </c>
      <c r="B32" s="35"/>
      <c r="C32" s="35"/>
      <c r="D32" s="35"/>
      <c r="E32" s="35"/>
      <c r="F32" s="35"/>
      <c r="G32" s="35"/>
    </row>
    <row r="33" spans="1:7" ht="14.5" x14ac:dyDescent="0.35">
      <c r="A33" s="35"/>
      <c r="B33" s="35"/>
      <c r="C33" s="35"/>
      <c r="D33" s="35"/>
      <c r="E33" s="35"/>
      <c r="F33" s="35"/>
      <c r="G33" s="35"/>
    </row>
    <row r="34" spans="1:7" ht="14.5" x14ac:dyDescent="0.35">
      <c r="A34" s="45" t="s">
        <v>3</v>
      </c>
      <c r="B34" s="35"/>
      <c r="C34" s="35"/>
      <c r="D34" s="35"/>
      <c r="E34" s="35"/>
      <c r="F34" s="35"/>
      <c r="G34" s="35"/>
    </row>
    <row r="35" spans="1:7" ht="14.5" x14ac:dyDescent="0.35">
      <c r="A35" s="35"/>
      <c r="B35" s="35"/>
      <c r="C35" s="35"/>
      <c r="D35" s="35"/>
      <c r="E35" s="35"/>
      <c r="F35" s="35"/>
      <c r="G35" s="35"/>
    </row>
    <row r="36" spans="1:7" ht="14.5" x14ac:dyDescent="0.35">
      <c r="A36" s="45" t="s">
        <v>292</v>
      </c>
      <c r="B36" s="35"/>
      <c r="C36" s="35"/>
      <c r="D36" s="35"/>
      <c r="E36" s="35"/>
      <c r="F36" s="35"/>
      <c r="G36" s="35"/>
    </row>
  </sheetData>
  <mergeCells count="3">
    <mergeCell ref="A1:G1"/>
    <mergeCell ref="A29:G29"/>
    <mergeCell ref="A28:G28"/>
  </mergeCells>
  <hyperlinks>
    <hyperlink ref="A32" r:id="rId1" xr:uid="{00000000-0004-0000-3000-000000000000}"/>
    <hyperlink ref="A34" location="'Technical specifications'!A1" display="Technical specifications" xr:uid="{00000000-0004-0000-3000-000001000000}"/>
    <hyperlink ref="A36" location="Contents!A1" display="Back to contents" xr:uid="{00000000-0004-0000-3000-000002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G35"/>
  <sheetViews>
    <sheetView workbookViewId="0">
      <selection sqref="A1:G1"/>
    </sheetView>
  </sheetViews>
  <sheetFormatPr defaultRowHeight="14.75" customHeight="1" x14ac:dyDescent="0.35"/>
  <cols>
    <col min="1" max="1" width="20" customWidth="1"/>
    <col min="2" max="7" width="14.36328125" customWidth="1"/>
  </cols>
  <sheetData>
    <row r="1" spans="1:7" ht="33.75" customHeight="1" x14ac:dyDescent="0.35">
      <c r="A1" s="96" t="s">
        <v>58</v>
      </c>
      <c r="B1" s="97"/>
      <c r="C1" s="97"/>
      <c r="D1" s="97"/>
      <c r="E1" s="97"/>
      <c r="F1" s="97"/>
      <c r="G1" s="97"/>
    </row>
    <row r="2" spans="1:7" ht="14.5" x14ac:dyDescent="0.35">
      <c r="A2" s="36" t="s">
        <v>1064</v>
      </c>
      <c r="B2" s="37" t="s">
        <v>343</v>
      </c>
      <c r="C2" s="37" t="s">
        <v>344</v>
      </c>
      <c r="D2" s="37" t="s">
        <v>345</v>
      </c>
      <c r="E2" s="37" t="s">
        <v>346</v>
      </c>
      <c r="F2" s="37" t="s">
        <v>347</v>
      </c>
      <c r="G2" s="57" t="s">
        <v>1285</v>
      </c>
    </row>
    <row r="3" spans="1:7" ht="14.5" x14ac:dyDescent="0.35">
      <c r="A3" s="38" t="s">
        <v>1065</v>
      </c>
      <c r="B3" s="40">
        <v>3.3168000000000002</v>
      </c>
      <c r="C3" s="40">
        <v>2.6781999999999999</v>
      </c>
      <c r="D3" s="40">
        <v>2.4220999999999999</v>
      </c>
      <c r="E3" s="40">
        <v>1.8367</v>
      </c>
      <c r="F3" s="40">
        <v>1.2935000000000001</v>
      </c>
      <c r="G3" s="40">
        <v>2.2105000000000001</v>
      </c>
    </row>
    <row r="4" spans="1:7" ht="14.5" x14ac:dyDescent="0.35">
      <c r="A4" s="38" t="s">
        <v>1066</v>
      </c>
      <c r="B4" s="40">
        <v>2.9943</v>
      </c>
      <c r="C4" s="40">
        <v>2.2850000000000001</v>
      </c>
      <c r="D4" s="40">
        <v>2.0503</v>
      </c>
      <c r="E4" s="40">
        <v>1.4981</v>
      </c>
      <c r="F4" s="40">
        <v>1.0287999999999999</v>
      </c>
      <c r="G4" s="40">
        <v>1.8529</v>
      </c>
    </row>
    <row r="5" spans="1:7" ht="14.5" x14ac:dyDescent="0.35">
      <c r="A5" s="38" t="s">
        <v>1067</v>
      </c>
      <c r="B5" s="40">
        <v>2.6223000000000001</v>
      </c>
      <c r="C5" s="40">
        <v>1.9979</v>
      </c>
      <c r="D5" s="40">
        <v>1.7987</v>
      </c>
      <c r="E5" s="40">
        <v>1.2801</v>
      </c>
      <c r="F5" s="40">
        <v>0.85619999999999996</v>
      </c>
      <c r="G5" s="40">
        <v>1.61</v>
      </c>
    </row>
    <row r="6" spans="1:7" ht="14.5" x14ac:dyDescent="0.35">
      <c r="A6" s="38" t="s">
        <v>1068</v>
      </c>
      <c r="B6" s="40">
        <v>2.4622999999999999</v>
      </c>
      <c r="C6" s="40">
        <v>1.7615000000000001</v>
      </c>
      <c r="D6" s="40">
        <v>1.6115999999999999</v>
      </c>
      <c r="E6" s="40">
        <v>1.1294</v>
      </c>
      <c r="F6" s="40">
        <v>0.77410000000000001</v>
      </c>
      <c r="G6" s="40">
        <v>1.4330000000000001</v>
      </c>
    </row>
    <row r="7" spans="1:7" ht="14.5" x14ac:dyDescent="0.35">
      <c r="A7" s="38" t="s">
        <v>1069</v>
      </c>
      <c r="B7" s="40">
        <v>2.2480000000000002</v>
      </c>
      <c r="C7" s="40">
        <v>1.6212</v>
      </c>
      <c r="D7" s="40">
        <v>1.5014000000000001</v>
      </c>
      <c r="E7" s="40">
        <v>1.0664</v>
      </c>
      <c r="F7" s="40">
        <v>0.71140000000000003</v>
      </c>
      <c r="G7" s="40">
        <v>1.3352999999999999</v>
      </c>
    </row>
    <row r="8" spans="1:7" ht="14.5" x14ac:dyDescent="0.35">
      <c r="A8" s="38" t="s">
        <v>1070</v>
      </c>
      <c r="B8" s="40">
        <v>2.2077</v>
      </c>
      <c r="C8" s="40">
        <v>1.619</v>
      </c>
      <c r="D8" s="40">
        <v>1.5361</v>
      </c>
      <c r="E8" s="40">
        <v>1.161</v>
      </c>
      <c r="F8" s="40">
        <v>0.84689999999999999</v>
      </c>
      <c r="G8" s="40">
        <v>1.389</v>
      </c>
    </row>
    <row r="9" spans="1:7" ht="14.5" x14ac:dyDescent="0.35">
      <c r="A9" s="38" t="s">
        <v>1071</v>
      </c>
      <c r="B9" s="40">
        <v>2.2364999999999999</v>
      </c>
      <c r="C9" s="40">
        <v>1.7262999999999999</v>
      </c>
      <c r="D9" s="40">
        <v>1.7146999999999999</v>
      </c>
      <c r="E9" s="40">
        <v>1.6403000000000001</v>
      </c>
      <c r="F9" s="40">
        <v>1.6484000000000001</v>
      </c>
      <c r="G9" s="40">
        <v>1.6927000000000001</v>
      </c>
    </row>
    <row r="10" spans="1:7" ht="14.5" x14ac:dyDescent="0.35">
      <c r="A10" s="38" t="s">
        <v>1072</v>
      </c>
      <c r="B10" s="40">
        <v>2.5417000000000001</v>
      </c>
      <c r="C10" s="40">
        <v>2.2263999999999999</v>
      </c>
      <c r="D10" s="40">
        <v>2.4344000000000001</v>
      </c>
      <c r="E10" s="40">
        <v>3.1276000000000002</v>
      </c>
      <c r="F10" s="40">
        <v>4.3464</v>
      </c>
      <c r="G10" s="40">
        <v>2.7475999999999998</v>
      </c>
    </row>
    <row r="11" spans="1:7" ht="14.5" x14ac:dyDescent="0.35">
      <c r="A11" s="38" t="s">
        <v>1073</v>
      </c>
      <c r="B11" s="40">
        <v>3.4354</v>
      </c>
      <c r="C11" s="40">
        <v>3.2726999999999999</v>
      </c>
      <c r="D11" s="40">
        <v>3.6038000000000001</v>
      </c>
      <c r="E11" s="40">
        <v>4.8577000000000004</v>
      </c>
      <c r="F11" s="40">
        <v>7.1738999999999997</v>
      </c>
      <c r="G11" s="40">
        <v>4.1821000000000002</v>
      </c>
    </row>
    <row r="12" spans="1:7" ht="14.5" x14ac:dyDescent="0.35">
      <c r="A12" s="38" t="s">
        <v>1074</v>
      </c>
      <c r="B12" s="40">
        <v>4.4984000000000002</v>
      </c>
      <c r="C12" s="40">
        <v>4.5763999999999996</v>
      </c>
      <c r="D12" s="40">
        <v>4.9611999999999998</v>
      </c>
      <c r="E12" s="40">
        <v>6.4088000000000003</v>
      </c>
      <c r="F12" s="40">
        <v>9.0361999999999991</v>
      </c>
      <c r="G12" s="40">
        <v>5.6233000000000004</v>
      </c>
    </row>
    <row r="13" spans="1:7" ht="14.5" x14ac:dyDescent="0.35">
      <c r="A13" s="38" t="s">
        <v>1075</v>
      </c>
      <c r="B13" s="40">
        <v>5.0627000000000004</v>
      </c>
      <c r="C13" s="40">
        <v>5.5986000000000002</v>
      </c>
      <c r="D13" s="40">
        <v>5.9101999999999997</v>
      </c>
      <c r="E13" s="40">
        <v>6.9469000000000003</v>
      </c>
      <c r="F13" s="40">
        <v>8.9381000000000004</v>
      </c>
      <c r="G13" s="40">
        <v>6.3800999999999997</v>
      </c>
    </row>
    <row r="14" spans="1:7" ht="14.5" x14ac:dyDescent="0.35">
      <c r="A14" s="38" t="s">
        <v>1076</v>
      </c>
      <c r="B14" s="40">
        <v>5.4219999999999997</v>
      </c>
      <c r="C14" s="40">
        <v>6.1242000000000001</v>
      </c>
      <c r="D14" s="40">
        <v>6.3129999999999997</v>
      </c>
      <c r="E14" s="40">
        <v>6.8120000000000003</v>
      </c>
      <c r="F14" s="40">
        <v>7.9989999999999997</v>
      </c>
      <c r="G14" s="40">
        <v>6.5415999999999999</v>
      </c>
    </row>
    <row r="15" spans="1:7" ht="14.5" x14ac:dyDescent="0.35">
      <c r="A15" s="38" t="s">
        <v>1077</v>
      </c>
      <c r="B15" s="40">
        <v>5.6673</v>
      </c>
      <c r="C15" s="40">
        <v>6.2271999999999998</v>
      </c>
      <c r="D15" s="40">
        <v>6.3296999999999999</v>
      </c>
      <c r="E15" s="40">
        <v>6.3994</v>
      </c>
      <c r="F15" s="40">
        <v>6.8048999999999999</v>
      </c>
      <c r="G15" s="40">
        <v>6.3578999999999999</v>
      </c>
    </row>
    <row r="16" spans="1:7" ht="14.5" x14ac:dyDescent="0.35">
      <c r="A16" s="38" t="s">
        <v>1078</v>
      </c>
      <c r="B16" s="40">
        <v>5.4819000000000004</v>
      </c>
      <c r="C16" s="40">
        <v>6.1776999999999997</v>
      </c>
      <c r="D16" s="40">
        <v>6.2698999999999998</v>
      </c>
      <c r="E16" s="40">
        <v>6.2526999999999999</v>
      </c>
      <c r="F16" s="40">
        <v>6.3627000000000002</v>
      </c>
      <c r="G16" s="40">
        <v>6.2464000000000004</v>
      </c>
    </row>
    <row r="17" spans="1:7" ht="14.5" x14ac:dyDescent="0.35">
      <c r="A17" s="38" t="s">
        <v>1079</v>
      </c>
      <c r="B17" s="40">
        <v>5.5084</v>
      </c>
      <c r="C17" s="40">
        <v>6.03</v>
      </c>
      <c r="D17" s="40">
        <v>6.1894999999999998</v>
      </c>
      <c r="E17" s="40">
        <v>6.1684000000000001</v>
      </c>
      <c r="F17" s="40">
        <v>6.3644999999999996</v>
      </c>
      <c r="G17" s="40">
        <v>6.1586999999999996</v>
      </c>
    </row>
    <row r="18" spans="1:7" ht="14.5" x14ac:dyDescent="0.35">
      <c r="A18" s="38" t="s">
        <v>1080</v>
      </c>
      <c r="B18" s="40">
        <v>5.1813000000000002</v>
      </c>
      <c r="C18" s="40">
        <v>5.8997000000000002</v>
      </c>
      <c r="D18" s="40">
        <v>5.9904000000000002</v>
      </c>
      <c r="E18" s="40">
        <v>6.0216000000000003</v>
      </c>
      <c r="F18" s="40">
        <v>6.0479000000000003</v>
      </c>
      <c r="G18" s="40">
        <v>5.9812000000000003</v>
      </c>
    </row>
    <row r="19" spans="1:7" ht="14.5" x14ac:dyDescent="0.35">
      <c r="A19" s="38" t="s">
        <v>1081</v>
      </c>
      <c r="B19" s="40">
        <v>5.3760000000000003</v>
      </c>
      <c r="C19" s="40">
        <v>5.9311999999999996</v>
      </c>
      <c r="D19" s="40">
        <v>5.9550000000000001</v>
      </c>
      <c r="E19" s="40">
        <v>6.0297000000000001</v>
      </c>
      <c r="F19" s="40">
        <v>5.7042000000000002</v>
      </c>
      <c r="G19" s="40">
        <v>5.9550999999999998</v>
      </c>
    </row>
    <row r="20" spans="1:7" ht="14.5" x14ac:dyDescent="0.35">
      <c r="A20" s="38" t="s">
        <v>1082</v>
      </c>
      <c r="B20" s="40">
        <v>5.4324000000000003</v>
      </c>
      <c r="C20" s="40">
        <v>5.8174000000000001</v>
      </c>
      <c r="D20" s="40">
        <v>5.7941000000000003</v>
      </c>
      <c r="E20" s="40">
        <v>5.7256999999999998</v>
      </c>
      <c r="F20" s="40">
        <v>4.9894999999999996</v>
      </c>
      <c r="G20" s="40">
        <v>5.7225999999999999</v>
      </c>
    </row>
    <row r="21" spans="1:7" ht="14.5" x14ac:dyDescent="0.35">
      <c r="A21" s="38" t="s">
        <v>1083</v>
      </c>
      <c r="B21" s="40">
        <v>5.4785000000000004</v>
      </c>
      <c r="C21" s="40">
        <v>5.7356999999999996</v>
      </c>
      <c r="D21" s="40">
        <v>5.6600999999999999</v>
      </c>
      <c r="E21" s="40">
        <v>5.5250000000000004</v>
      </c>
      <c r="F21" s="40">
        <v>4.3718000000000004</v>
      </c>
      <c r="G21" s="40">
        <v>5.5476000000000001</v>
      </c>
    </row>
    <row r="22" spans="1:7" ht="14.5" x14ac:dyDescent="0.35">
      <c r="A22" s="38" t="s">
        <v>1084</v>
      </c>
      <c r="B22" s="40">
        <v>5.2332000000000001</v>
      </c>
      <c r="C22" s="40">
        <v>5.5640999999999998</v>
      </c>
      <c r="D22" s="40">
        <v>5.4623999999999997</v>
      </c>
      <c r="E22" s="40">
        <v>5.4237000000000002</v>
      </c>
      <c r="F22" s="40">
        <v>4.1459000000000001</v>
      </c>
      <c r="G22" s="40">
        <v>5.3848000000000003</v>
      </c>
    </row>
    <row r="23" spans="1:7" ht="14.5" x14ac:dyDescent="0.35">
      <c r="A23" s="38" t="s">
        <v>1085</v>
      </c>
      <c r="B23" s="40">
        <v>5.0603999999999996</v>
      </c>
      <c r="C23" s="40">
        <v>5.2733999999999996</v>
      </c>
      <c r="D23" s="40">
        <v>5.1737000000000002</v>
      </c>
      <c r="E23" s="40">
        <v>4.9108000000000001</v>
      </c>
      <c r="F23" s="40">
        <v>3.6221999999999999</v>
      </c>
      <c r="G23" s="40">
        <v>5.0075000000000003</v>
      </c>
    </row>
    <row r="24" spans="1:7" ht="14.5" x14ac:dyDescent="0.35">
      <c r="A24" s="38" t="s">
        <v>1086</v>
      </c>
      <c r="B24" s="40">
        <v>4.5766999999999998</v>
      </c>
      <c r="C24" s="40">
        <v>4.6055000000000001</v>
      </c>
      <c r="D24" s="40">
        <v>4.4797000000000002</v>
      </c>
      <c r="E24" s="40">
        <v>4.0925000000000002</v>
      </c>
      <c r="F24" s="40">
        <v>2.9068000000000001</v>
      </c>
      <c r="G24" s="40">
        <v>4.2770000000000001</v>
      </c>
    </row>
    <row r="25" spans="1:7" ht="14.5" x14ac:dyDescent="0.35">
      <c r="A25" s="38" t="s">
        <v>1087</v>
      </c>
      <c r="B25" s="40">
        <v>4.0838000000000001</v>
      </c>
      <c r="C25" s="40">
        <v>4.0052000000000003</v>
      </c>
      <c r="D25" s="40">
        <v>3.8094000000000001</v>
      </c>
      <c r="E25" s="40">
        <v>3.2490000000000001</v>
      </c>
      <c r="F25" s="40">
        <v>2.3115000000000001</v>
      </c>
      <c r="G25" s="40">
        <v>3.5672000000000001</v>
      </c>
    </row>
    <row r="26" spans="1:7" ht="14.5" x14ac:dyDescent="0.35">
      <c r="A26" s="38" t="s">
        <v>1088</v>
      </c>
      <c r="B26" s="40">
        <v>3.8719000000000001</v>
      </c>
      <c r="C26" s="40">
        <v>3.2454000000000001</v>
      </c>
      <c r="D26" s="40">
        <v>3.0286</v>
      </c>
      <c r="E26" s="40">
        <v>2.4365000000000001</v>
      </c>
      <c r="F26" s="40">
        <v>1.7154</v>
      </c>
      <c r="G26" s="40">
        <v>2.7959000000000001</v>
      </c>
    </row>
    <row r="27" spans="1:7" ht="14.5" x14ac:dyDescent="0.35">
      <c r="A27" s="41" t="s">
        <v>304</v>
      </c>
      <c r="B27" s="43">
        <v>100</v>
      </c>
      <c r="C27" s="43">
        <v>100</v>
      </c>
      <c r="D27" s="43">
        <v>100</v>
      </c>
      <c r="E27" s="43">
        <v>100</v>
      </c>
      <c r="F27" s="43">
        <v>100</v>
      </c>
      <c r="G27" s="43">
        <v>100</v>
      </c>
    </row>
    <row r="28" spans="1:7" ht="14.5" x14ac:dyDescent="0.35">
      <c r="A28" s="98" t="s">
        <v>1089</v>
      </c>
      <c r="B28" s="99"/>
      <c r="C28" s="99"/>
      <c r="D28" s="99"/>
      <c r="E28" s="99"/>
      <c r="F28" s="99"/>
      <c r="G28" s="99"/>
    </row>
    <row r="29" spans="1:7" ht="14.5" x14ac:dyDescent="0.35">
      <c r="A29" s="44"/>
      <c r="B29" s="35"/>
      <c r="C29" s="35"/>
      <c r="D29" s="35"/>
      <c r="E29" s="35"/>
      <c r="F29" s="35"/>
      <c r="G29" s="35"/>
    </row>
    <row r="30" spans="1:7" ht="14.5" x14ac:dyDescent="0.35">
      <c r="A30" s="35" t="s">
        <v>290</v>
      </c>
      <c r="B30" s="35"/>
      <c r="C30" s="35"/>
      <c r="D30" s="35"/>
      <c r="E30" s="35"/>
      <c r="F30" s="35"/>
      <c r="G30" s="35"/>
    </row>
    <row r="31" spans="1:7" ht="14.5" x14ac:dyDescent="0.35">
      <c r="A31" s="45" t="s">
        <v>291</v>
      </c>
      <c r="B31" s="35"/>
      <c r="C31" s="35"/>
      <c r="D31" s="35"/>
      <c r="E31" s="35"/>
      <c r="F31" s="35"/>
      <c r="G31" s="35"/>
    </row>
    <row r="32" spans="1:7" ht="14.5" x14ac:dyDescent="0.35">
      <c r="A32" s="35"/>
      <c r="B32" s="35"/>
      <c r="C32" s="35"/>
      <c r="D32" s="35"/>
      <c r="E32" s="35"/>
      <c r="F32" s="35"/>
      <c r="G32" s="35"/>
    </row>
    <row r="33" spans="1:7" ht="14.5" x14ac:dyDescent="0.35">
      <c r="A33" s="45" t="s">
        <v>3</v>
      </c>
      <c r="B33" s="35"/>
      <c r="C33" s="35"/>
      <c r="D33" s="35"/>
      <c r="E33" s="35"/>
      <c r="F33" s="35"/>
      <c r="G33" s="35"/>
    </row>
    <row r="34" spans="1:7" ht="14.5" x14ac:dyDescent="0.35">
      <c r="A34" s="35"/>
      <c r="B34" s="35"/>
      <c r="C34" s="35"/>
      <c r="D34" s="35"/>
      <c r="E34" s="35"/>
      <c r="F34" s="35"/>
      <c r="G34" s="35"/>
    </row>
    <row r="35" spans="1:7" ht="14.5" x14ac:dyDescent="0.35">
      <c r="A35" s="45" t="s">
        <v>292</v>
      </c>
      <c r="B35" s="35"/>
      <c r="C35" s="35"/>
      <c r="D35" s="35"/>
      <c r="E35" s="35"/>
      <c r="F35" s="35"/>
      <c r="G35" s="35"/>
    </row>
  </sheetData>
  <mergeCells count="2">
    <mergeCell ref="A1:G1"/>
    <mergeCell ref="A28:G28"/>
  </mergeCells>
  <hyperlinks>
    <hyperlink ref="A31" r:id="rId1" xr:uid="{00000000-0004-0000-3100-000000000000}"/>
    <hyperlink ref="A33" location="'Technical specifications'!A1" display="Technical specifications" xr:uid="{00000000-0004-0000-3100-000001000000}"/>
    <hyperlink ref="A35" location="Contents!A1" display="Back to contents" xr:uid="{00000000-0004-0000-3100-000002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L101"/>
  <sheetViews>
    <sheetView workbookViewId="0">
      <selection sqref="A1:L1"/>
    </sheetView>
  </sheetViews>
  <sheetFormatPr defaultRowHeight="14.75" customHeight="1" x14ac:dyDescent="0.35"/>
  <cols>
    <col min="1" max="1" width="54" customWidth="1"/>
    <col min="2" max="2" width="15" customWidth="1"/>
    <col min="3" max="3" width="71" customWidth="1"/>
    <col min="4" max="12" width="8.453125" customWidth="1"/>
  </cols>
  <sheetData>
    <row r="1" spans="1:12" ht="33.75" customHeight="1" x14ac:dyDescent="0.35">
      <c r="A1" s="96" t="s">
        <v>1091</v>
      </c>
      <c r="B1" s="97"/>
      <c r="C1" s="97"/>
      <c r="D1" s="97"/>
      <c r="E1" s="97"/>
      <c r="F1" s="97"/>
      <c r="G1" s="97"/>
      <c r="H1" s="97"/>
      <c r="I1" s="97"/>
      <c r="J1" s="97"/>
      <c r="K1" s="97"/>
      <c r="L1" s="97"/>
    </row>
    <row r="2" spans="1:12" ht="14.5" x14ac:dyDescent="0.35">
      <c r="A2" s="36" t="s">
        <v>276</v>
      </c>
      <c r="B2" s="36" t="s">
        <v>337</v>
      </c>
      <c r="C2" s="36" t="s">
        <v>294</v>
      </c>
      <c r="D2" s="37" t="s">
        <v>295</v>
      </c>
      <c r="E2" s="37" t="s">
        <v>297</v>
      </c>
      <c r="F2" s="37" t="s">
        <v>298</v>
      </c>
      <c r="G2" s="37" t="s">
        <v>299</v>
      </c>
      <c r="H2" s="37" t="s">
        <v>300</v>
      </c>
      <c r="I2" s="37" t="s">
        <v>301</v>
      </c>
      <c r="J2" s="37" t="s">
        <v>302</v>
      </c>
      <c r="K2" s="37" t="s">
        <v>303</v>
      </c>
      <c r="L2" s="37" t="s">
        <v>304</v>
      </c>
    </row>
    <row r="3" spans="1:12" ht="14.5" x14ac:dyDescent="0.35">
      <c r="A3" s="38" t="s">
        <v>284</v>
      </c>
      <c r="B3" s="38" t="s">
        <v>343</v>
      </c>
      <c r="C3" s="38" t="s">
        <v>296</v>
      </c>
      <c r="D3" s="39">
        <v>13338</v>
      </c>
      <c r="E3" s="39">
        <v>7139</v>
      </c>
      <c r="F3" s="39">
        <v>9886</v>
      </c>
      <c r="G3" s="39">
        <v>5769</v>
      </c>
      <c r="H3" s="39">
        <v>4547</v>
      </c>
      <c r="I3" s="39">
        <v>648</v>
      </c>
      <c r="J3" s="39">
        <v>791</v>
      </c>
      <c r="K3" s="39">
        <v>1317</v>
      </c>
      <c r="L3" s="39">
        <v>43435</v>
      </c>
    </row>
    <row r="4" spans="1:12" ht="14.5" x14ac:dyDescent="0.35">
      <c r="A4" s="38" t="s">
        <v>284</v>
      </c>
      <c r="B4" s="38" t="s">
        <v>344</v>
      </c>
      <c r="C4" s="38" t="s">
        <v>296</v>
      </c>
      <c r="D4" s="39">
        <v>179317</v>
      </c>
      <c r="E4" s="39">
        <v>110339</v>
      </c>
      <c r="F4" s="39">
        <v>131994</v>
      </c>
      <c r="G4" s="39">
        <v>66565</v>
      </c>
      <c r="H4" s="39">
        <v>53400</v>
      </c>
      <c r="I4" s="39">
        <v>16993</v>
      </c>
      <c r="J4" s="39">
        <v>16772</v>
      </c>
      <c r="K4" s="39">
        <v>14741</v>
      </c>
      <c r="L4" s="39">
        <v>590121</v>
      </c>
    </row>
    <row r="5" spans="1:12" ht="14.5" x14ac:dyDescent="0.35">
      <c r="A5" s="38" t="s">
        <v>284</v>
      </c>
      <c r="B5" s="38" t="s">
        <v>345</v>
      </c>
      <c r="C5" s="38" t="s">
        <v>296</v>
      </c>
      <c r="D5" s="39">
        <v>396498</v>
      </c>
      <c r="E5" s="39">
        <v>276428</v>
      </c>
      <c r="F5" s="39">
        <v>297513</v>
      </c>
      <c r="G5" s="39">
        <v>148944</v>
      </c>
      <c r="H5" s="39">
        <v>89507</v>
      </c>
      <c r="I5" s="39">
        <v>35542</v>
      </c>
      <c r="J5" s="39">
        <v>44773</v>
      </c>
      <c r="K5" s="39">
        <v>23882</v>
      </c>
      <c r="L5" s="39">
        <v>1313087</v>
      </c>
    </row>
    <row r="6" spans="1:12" ht="14.5" x14ac:dyDescent="0.35">
      <c r="A6" s="38" t="s">
        <v>284</v>
      </c>
      <c r="B6" s="38" t="s">
        <v>346</v>
      </c>
      <c r="C6" s="38" t="s">
        <v>296</v>
      </c>
      <c r="D6" s="39">
        <v>299474</v>
      </c>
      <c r="E6" s="39">
        <v>195319</v>
      </c>
      <c r="F6" s="39">
        <v>192519</v>
      </c>
      <c r="G6" s="39">
        <v>120290</v>
      </c>
      <c r="H6" s="39">
        <v>55627</v>
      </c>
      <c r="I6" s="39">
        <v>21843</v>
      </c>
      <c r="J6" s="39">
        <v>34065</v>
      </c>
      <c r="K6" s="39">
        <v>25843</v>
      </c>
      <c r="L6" s="39">
        <v>944980</v>
      </c>
    </row>
    <row r="7" spans="1:12" ht="14.5" x14ac:dyDescent="0.35">
      <c r="A7" s="38" t="s">
        <v>284</v>
      </c>
      <c r="B7" s="38" t="s">
        <v>347</v>
      </c>
      <c r="C7" s="38" t="s">
        <v>296</v>
      </c>
      <c r="D7" s="39">
        <v>41092</v>
      </c>
      <c r="E7" s="39">
        <v>29194</v>
      </c>
      <c r="F7" s="39">
        <v>28572</v>
      </c>
      <c r="G7" s="39">
        <v>7428</v>
      </c>
      <c r="H7" s="39">
        <v>6964</v>
      </c>
      <c r="I7" s="39">
        <v>3621</v>
      </c>
      <c r="J7" s="39">
        <v>6076</v>
      </c>
      <c r="K7" s="39">
        <v>3000</v>
      </c>
      <c r="L7" s="39">
        <v>125947</v>
      </c>
    </row>
    <row r="8" spans="1:12" ht="14.5" x14ac:dyDescent="0.35">
      <c r="A8" s="61" t="s">
        <v>284</v>
      </c>
      <c r="B8" s="61" t="s">
        <v>1303</v>
      </c>
      <c r="C8" s="61" t="s">
        <v>296</v>
      </c>
      <c r="D8" s="62">
        <v>930646</v>
      </c>
      <c r="E8" s="62">
        <v>618419</v>
      </c>
      <c r="F8" s="62">
        <v>660484</v>
      </c>
      <c r="G8" s="62">
        <v>348998</v>
      </c>
      <c r="H8" s="62">
        <v>210045</v>
      </c>
      <c r="I8" s="62">
        <v>78647</v>
      </c>
      <c r="J8" s="62">
        <v>102737</v>
      </c>
      <c r="K8" s="62">
        <v>68783</v>
      </c>
      <c r="L8" s="62">
        <v>3018759</v>
      </c>
    </row>
    <row r="9" spans="1:12" ht="14.5" x14ac:dyDescent="0.35">
      <c r="A9" s="38" t="s">
        <v>284</v>
      </c>
      <c r="B9" s="38" t="s">
        <v>343</v>
      </c>
      <c r="C9" s="38" t="s">
        <v>1092</v>
      </c>
      <c r="D9" s="39">
        <v>0</v>
      </c>
      <c r="E9" s="39">
        <v>0</v>
      </c>
      <c r="F9" s="39">
        <v>1</v>
      </c>
      <c r="G9" s="39">
        <v>0</v>
      </c>
      <c r="H9" s="39">
        <v>0</v>
      </c>
      <c r="I9" s="39">
        <v>0</v>
      </c>
      <c r="J9" s="39">
        <v>0</v>
      </c>
      <c r="K9" s="39">
        <v>0</v>
      </c>
      <c r="L9" s="39">
        <v>0</v>
      </c>
    </row>
    <row r="10" spans="1:12" ht="14.5" x14ac:dyDescent="0.35">
      <c r="A10" s="38" t="s">
        <v>284</v>
      </c>
      <c r="B10" s="38" t="s">
        <v>344</v>
      </c>
      <c r="C10" s="38" t="s">
        <v>1092</v>
      </c>
      <c r="D10" s="39">
        <v>7</v>
      </c>
      <c r="E10" s="39">
        <v>8</v>
      </c>
      <c r="F10" s="39">
        <v>6</v>
      </c>
      <c r="G10" s="39">
        <v>7</v>
      </c>
      <c r="H10" s="39">
        <v>11</v>
      </c>
      <c r="I10" s="39">
        <v>14</v>
      </c>
      <c r="J10" s="39">
        <v>8</v>
      </c>
      <c r="K10" s="39">
        <v>15</v>
      </c>
      <c r="L10" s="39">
        <v>7</v>
      </c>
    </row>
    <row r="11" spans="1:12" ht="14.5" x14ac:dyDescent="0.35">
      <c r="A11" s="38" t="s">
        <v>284</v>
      </c>
      <c r="B11" s="38" t="s">
        <v>345</v>
      </c>
      <c r="C11" s="38" t="s">
        <v>1092</v>
      </c>
      <c r="D11" s="39">
        <v>19</v>
      </c>
      <c r="E11" s="39">
        <v>15</v>
      </c>
      <c r="F11" s="39">
        <v>18</v>
      </c>
      <c r="G11" s="39">
        <v>87</v>
      </c>
      <c r="H11" s="39">
        <v>52</v>
      </c>
      <c r="I11" s="39">
        <v>63</v>
      </c>
      <c r="J11" s="39">
        <v>32</v>
      </c>
      <c r="K11" s="39">
        <v>84</v>
      </c>
      <c r="L11" s="39">
        <v>23</v>
      </c>
    </row>
    <row r="12" spans="1:12" ht="14.5" x14ac:dyDescent="0.35">
      <c r="A12" s="38" t="s">
        <v>284</v>
      </c>
      <c r="B12" s="38" t="s">
        <v>346</v>
      </c>
      <c r="C12" s="38" t="s">
        <v>1092</v>
      </c>
      <c r="D12" s="39">
        <v>26</v>
      </c>
      <c r="E12" s="39">
        <v>23</v>
      </c>
      <c r="F12" s="39">
        <v>25</v>
      </c>
      <c r="G12" s="39">
        <v>91</v>
      </c>
      <c r="H12" s="39">
        <v>53</v>
      </c>
      <c r="I12" s="39">
        <v>90</v>
      </c>
      <c r="J12" s="39">
        <v>41</v>
      </c>
      <c r="K12" s="39">
        <v>94</v>
      </c>
      <c r="L12" s="39">
        <v>34</v>
      </c>
    </row>
    <row r="13" spans="1:12" ht="14.5" x14ac:dyDescent="0.35">
      <c r="A13" s="38" t="s">
        <v>284</v>
      </c>
      <c r="B13" s="38" t="s">
        <v>347</v>
      </c>
      <c r="C13" s="38" t="s">
        <v>1092</v>
      </c>
      <c r="D13" s="39">
        <v>28</v>
      </c>
      <c r="E13" s="39">
        <v>23</v>
      </c>
      <c r="F13" s="39">
        <v>27</v>
      </c>
      <c r="G13" s="39">
        <v>78</v>
      </c>
      <c r="H13" s="39">
        <v>44</v>
      </c>
      <c r="I13" s="39">
        <v>75</v>
      </c>
      <c r="J13" s="39">
        <v>41</v>
      </c>
      <c r="K13" s="39">
        <v>86</v>
      </c>
      <c r="L13" s="39">
        <v>31</v>
      </c>
    </row>
    <row r="14" spans="1:12" ht="14.5" x14ac:dyDescent="0.35">
      <c r="A14" s="61" t="s">
        <v>284</v>
      </c>
      <c r="B14" s="61" t="s">
        <v>1303</v>
      </c>
      <c r="C14" s="61" t="s">
        <v>1092</v>
      </c>
      <c r="D14" s="62">
        <v>15</v>
      </c>
      <c r="E14" s="62">
        <v>14</v>
      </c>
      <c r="F14" s="62">
        <v>15</v>
      </c>
      <c r="G14" s="62">
        <v>56</v>
      </c>
      <c r="H14" s="62">
        <v>33</v>
      </c>
      <c r="I14" s="62">
        <v>49</v>
      </c>
      <c r="J14" s="62">
        <v>28</v>
      </c>
      <c r="K14" s="62">
        <v>60</v>
      </c>
      <c r="L14" s="62">
        <v>19</v>
      </c>
    </row>
    <row r="15" spans="1:12" ht="14.5" x14ac:dyDescent="0.35">
      <c r="A15" s="38" t="s">
        <v>284</v>
      </c>
      <c r="B15" s="38" t="s">
        <v>343</v>
      </c>
      <c r="C15" s="38" t="s">
        <v>1093</v>
      </c>
      <c r="D15" s="39">
        <v>1</v>
      </c>
      <c r="E15" s="39">
        <v>1</v>
      </c>
      <c r="F15" s="39">
        <v>2</v>
      </c>
      <c r="G15" s="39">
        <v>0</v>
      </c>
      <c r="H15" s="39">
        <v>1</v>
      </c>
      <c r="I15" s="39">
        <v>0</v>
      </c>
      <c r="J15" s="39">
        <v>1</v>
      </c>
      <c r="K15" s="39">
        <v>0</v>
      </c>
      <c r="L15" s="39">
        <v>1</v>
      </c>
    </row>
    <row r="16" spans="1:12" ht="14.5" x14ac:dyDescent="0.35">
      <c r="A16" s="38" t="s">
        <v>284</v>
      </c>
      <c r="B16" s="38" t="s">
        <v>344</v>
      </c>
      <c r="C16" s="38" t="s">
        <v>1093</v>
      </c>
      <c r="D16" s="39">
        <v>26</v>
      </c>
      <c r="E16" s="39">
        <v>25</v>
      </c>
      <c r="F16" s="39">
        <v>23</v>
      </c>
      <c r="G16" s="39">
        <v>30</v>
      </c>
      <c r="H16" s="39">
        <v>53</v>
      </c>
      <c r="I16" s="39">
        <v>48</v>
      </c>
      <c r="J16" s="39">
        <v>22</v>
      </c>
      <c r="K16" s="39">
        <v>54</v>
      </c>
      <c r="L16" s="39">
        <v>30</v>
      </c>
    </row>
    <row r="17" spans="1:12" ht="14.5" x14ac:dyDescent="0.35">
      <c r="A17" s="38" t="s">
        <v>284</v>
      </c>
      <c r="B17" s="38" t="s">
        <v>345</v>
      </c>
      <c r="C17" s="38" t="s">
        <v>1093</v>
      </c>
      <c r="D17" s="39">
        <v>95</v>
      </c>
      <c r="E17" s="39">
        <v>85</v>
      </c>
      <c r="F17" s="39">
        <v>79</v>
      </c>
      <c r="G17" s="39">
        <v>303</v>
      </c>
      <c r="H17" s="39">
        <v>224</v>
      </c>
      <c r="I17" s="39">
        <v>212</v>
      </c>
      <c r="J17" s="39">
        <v>105</v>
      </c>
      <c r="K17" s="39">
        <v>243</v>
      </c>
      <c r="L17" s="39">
        <v>134</v>
      </c>
    </row>
    <row r="18" spans="1:12" ht="14.5" x14ac:dyDescent="0.35">
      <c r="A18" s="38" t="s">
        <v>284</v>
      </c>
      <c r="B18" s="38" t="s">
        <v>346</v>
      </c>
      <c r="C18" s="38" t="s">
        <v>1093</v>
      </c>
      <c r="D18" s="39">
        <v>130</v>
      </c>
      <c r="E18" s="39">
        <v>135</v>
      </c>
      <c r="F18" s="39">
        <v>102</v>
      </c>
      <c r="G18" s="39">
        <v>295</v>
      </c>
      <c r="H18" s="39">
        <v>209</v>
      </c>
      <c r="I18" s="39">
        <v>259</v>
      </c>
      <c r="J18" s="39">
        <v>131</v>
      </c>
      <c r="K18" s="39">
        <v>252</v>
      </c>
      <c r="L18" s="39">
        <v>162</v>
      </c>
    </row>
    <row r="19" spans="1:12" ht="14.5" x14ac:dyDescent="0.35">
      <c r="A19" s="38" t="s">
        <v>284</v>
      </c>
      <c r="B19" s="38" t="s">
        <v>347</v>
      </c>
      <c r="C19" s="38" t="s">
        <v>1093</v>
      </c>
      <c r="D19" s="39">
        <v>138</v>
      </c>
      <c r="E19" s="39">
        <v>130</v>
      </c>
      <c r="F19" s="39">
        <v>111</v>
      </c>
      <c r="G19" s="39">
        <v>297</v>
      </c>
      <c r="H19" s="39">
        <v>205</v>
      </c>
      <c r="I19" s="39">
        <v>249</v>
      </c>
      <c r="J19" s="39">
        <v>134</v>
      </c>
      <c r="K19" s="39">
        <v>254</v>
      </c>
      <c r="L19" s="39">
        <v>149</v>
      </c>
    </row>
    <row r="20" spans="1:12" ht="14.5" x14ac:dyDescent="0.35">
      <c r="A20" s="61" t="s">
        <v>284</v>
      </c>
      <c r="B20" s="61" t="s">
        <v>1303</v>
      </c>
      <c r="C20" s="61" t="s">
        <v>1093</v>
      </c>
      <c r="D20" s="62">
        <v>97</v>
      </c>
      <c r="E20" s="62">
        <v>94</v>
      </c>
      <c r="F20" s="62">
        <v>80</v>
      </c>
      <c r="G20" s="62">
        <v>265</v>
      </c>
      <c r="H20" s="62">
        <v>184</v>
      </c>
      <c r="I20" s="62">
        <v>208</v>
      </c>
      <c r="J20" s="62">
        <v>109</v>
      </c>
      <c r="K20" s="62">
        <v>221</v>
      </c>
      <c r="L20" s="62">
        <v>126</v>
      </c>
    </row>
    <row r="21" spans="1:12" ht="14.5" x14ac:dyDescent="0.35">
      <c r="A21" s="38" t="s">
        <v>285</v>
      </c>
      <c r="B21" s="38" t="s">
        <v>343</v>
      </c>
      <c r="C21" s="38" t="s">
        <v>296</v>
      </c>
      <c r="D21" s="39">
        <v>9255</v>
      </c>
      <c r="E21" s="39">
        <v>8309</v>
      </c>
      <c r="F21" s="39">
        <v>7307</v>
      </c>
      <c r="G21" s="39">
        <v>2648</v>
      </c>
      <c r="H21" s="39">
        <v>2426</v>
      </c>
      <c r="I21" s="39">
        <v>715</v>
      </c>
      <c r="J21" s="39">
        <v>236</v>
      </c>
      <c r="K21" s="39">
        <v>261</v>
      </c>
      <c r="L21" s="39">
        <v>31157</v>
      </c>
    </row>
    <row r="22" spans="1:12" ht="14.5" x14ac:dyDescent="0.35">
      <c r="A22" s="38" t="s">
        <v>285</v>
      </c>
      <c r="B22" s="38" t="s">
        <v>344</v>
      </c>
      <c r="C22" s="38" t="s">
        <v>296</v>
      </c>
      <c r="D22" s="39">
        <v>191976</v>
      </c>
      <c r="E22" s="39">
        <v>169277</v>
      </c>
      <c r="F22" s="39">
        <v>181476</v>
      </c>
      <c r="G22" s="39">
        <v>55586</v>
      </c>
      <c r="H22" s="39">
        <v>27747</v>
      </c>
      <c r="I22" s="39">
        <v>15336</v>
      </c>
      <c r="J22" s="39">
        <v>7403</v>
      </c>
      <c r="K22" s="39">
        <v>7654</v>
      </c>
      <c r="L22" s="39">
        <v>656455</v>
      </c>
    </row>
    <row r="23" spans="1:12" ht="14.5" x14ac:dyDescent="0.35">
      <c r="A23" s="38" t="s">
        <v>285</v>
      </c>
      <c r="B23" s="38" t="s">
        <v>345</v>
      </c>
      <c r="C23" s="38" t="s">
        <v>296</v>
      </c>
      <c r="D23" s="39">
        <v>436989</v>
      </c>
      <c r="E23" s="39">
        <v>406387</v>
      </c>
      <c r="F23" s="39">
        <v>374070</v>
      </c>
      <c r="G23" s="39">
        <v>135389</v>
      </c>
      <c r="H23" s="39">
        <v>73958</v>
      </c>
      <c r="I23" s="39">
        <v>33254</v>
      </c>
      <c r="J23" s="39">
        <v>28148</v>
      </c>
      <c r="K23" s="39">
        <v>17025</v>
      </c>
      <c r="L23" s="39">
        <v>1505220</v>
      </c>
    </row>
    <row r="24" spans="1:12" ht="14.5" x14ac:dyDescent="0.35">
      <c r="A24" s="38" t="s">
        <v>285</v>
      </c>
      <c r="B24" s="38" t="s">
        <v>346</v>
      </c>
      <c r="C24" s="38" t="s">
        <v>296</v>
      </c>
      <c r="D24" s="39">
        <v>345913</v>
      </c>
      <c r="E24" s="39">
        <v>257549</v>
      </c>
      <c r="F24" s="39">
        <v>181083</v>
      </c>
      <c r="G24" s="39">
        <v>101284</v>
      </c>
      <c r="H24" s="39">
        <v>54221</v>
      </c>
      <c r="I24" s="39">
        <v>21981</v>
      </c>
      <c r="J24" s="39">
        <v>23759</v>
      </c>
      <c r="K24" s="39">
        <v>17527</v>
      </c>
      <c r="L24" s="39">
        <v>1003317</v>
      </c>
    </row>
    <row r="25" spans="1:12" ht="14.5" x14ac:dyDescent="0.35">
      <c r="A25" s="38" t="s">
        <v>285</v>
      </c>
      <c r="B25" s="38" t="s">
        <v>347</v>
      </c>
      <c r="C25" s="38" t="s">
        <v>296</v>
      </c>
      <c r="D25" s="39">
        <v>66915</v>
      </c>
      <c r="E25" s="39">
        <v>35829</v>
      </c>
      <c r="F25" s="39">
        <v>20460</v>
      </c>
      <c r="G25" s="39">
        <v>8075</v>
      </c>
      <c r="H25" s="39">
        <v>10220</v>
      </c>
      <c r="I25" s="39">
        <v>2101</v>
      </c>
      <c r="J25" s="39">
        <v>4053</v>
      </c>
      <c r="K25" s="39">
        <v>3670</v>
      </c>
      <c r="L25" s="39">
        <v>151323</v>
      </c>
    </row>
    <row r="26" spans="1:12" ht="14.5" x14ac:dyDescent="0.35">
      <c r="A26" s="61" t="s">
        <v>285</v>
      </c>
      <c r="B26" s="61" t="s">
        <v>1303</v>
      </c>
      <c r="C26" s="61" t="s">
        <v>296</v>
      </c>
      <c r="D26" s="62">
        <v>1051543</v>
      </c>
      <c r="E26" s="62">
        <v>877351</v>
      </c>
      <c r="F26" s="62">
        <v>764396</v>
      </c>
      <c r="G26" s="62">
        <v>302982</v>
      </c>
      <c r="H26" s="62">
        <v>168572</v>
      </c>
      <c r="I26" s="62">
        <v>73387</v>
      </c>
      <c r="J26" s="62">
        <v>63636</v>
      </c>
      <c r="K26" s="62">
        <v>46137</v>
      </c>
      <c r="L26" s="62">
        <v>3348004</v>
      </c>
    </row>
    <row r="27" spans="1:12" ht="14.5" x14ac:dyDescent="0.35">
      <c r="A27" s="38" t="s">
        <v>285</v>
      </c>
      <c r="B27" s="38" t="s">
        <v>343</v>
      </c>
      <c r="C27" s="38" t="s">
        <v>1092</v>
      </c>
      <c r="D27" s="39">
        <v>0</v>
      </c>
      <c r="E27" s="39">
        <v>0</v>
      </c>
      <c r="F27" s="39">
        <v>0</v>
      </c>
      <c r="G27" s="39">
        <v>0</v>
      </c>
      <c r="H27" s="39">
        <v>0</v>
      </c>
      <c r="I27" s="39">
        <v>0</v>
      </c>
      <c r="J27" s="39">
        <v>0</v>
      </c>
      <c r="K27" s="39">
        <v>0</v>
      </c>
      <c r="L27" s="39">
        <v>0</v>
      </c>
    </row>
    <row r="28" spans="1:12" ht="14.5" x14ac:dyDescent="0.35">
      <c r="A28" s="38" t="s">
        <v>285</v>
      </c>
      <c r="B28" s="38" t="s">
        <v>344</v>
      </c>
      <c r="C28" s="38" t="s">
        <v>1092</v>
      </c>
      <c r="D28" s="39">
        <v>7</v>
      </c>
      <c r="E28" s="39">
        <v>8</v>
      </c>
      <c r="F28" s="39">
        <v>7</v>
      </c>
      <c r="G28" s="39">
        <v>8</v>
      </c>
      <c r="H28" s="39">
        <v>16</v>
      </c>
      <c r="I28" s="39">
        <v>10</v>
      </c>
      <c r="J28" s="39">
        <v>7</v>
      </c>
      <c r="K28" s="39">
        <v>8</v>
      </c>
      <c r="L28" s="39">
        <v>8</v>
      </c>
    </row>
    <row r="29" spans="1:12" ht="14.5" x14ac:dyDescent="0.35">
      <c r="A29" s="38" t="s">
        <v>285</v>
      </c>
      <c r="B29" s="38" t="s">
        <v>345</v>
      </c>
      <c r="C29" s="38" t="s">
        <v>1092</v>
      </c>
      <c r="D29" s="39">
        <v>24</v>
      </c>
      <c r="E29" s="39">
        <v>18</v>
      </c>
      <c r="F29" s="39">
        <v>20</v>
      </c>
      <c r="G29" s="39">
        <v>120</v>
      </c>
      <c r="H29" s="39">
        <v>53</v>
      </c>
      <c r="I29" s="39">
        <v>48</v>
      </c>
      <c r="J29" s="39">
        <v>25</v>
      </c>
      <c r="K29" s="39">
        <v>21</v>
      </c>
      <c r="L29" s="39">
        <v>25</v>
      </c>
    </row>
    <row r="30" spans="1:12" ht="14.5" x14ac:dyDescent="0.35">
      <c r="A30" s="38" t="s">
        <v>285</v>
      </c>
      <c r="B30" s="38" t="s">
        <v>346</v>
      </c>
      <c r="C30" s="38" t="s">
        <v>1092</v>
      </c>
      <c r="D30" s="39">
        <v>34</v>
      </c>
      <c r="E30" s="39">
        <v>23</v>
      </c>
      <c r="F30" s="39">
        <v>25</v>
      </c>
      <c r="G30" s="39">
        <v>116</v>
      </c>
      <c r="H30" s="39">
        <v>56</v>
      </c>
      <c r="I30" s="39">
        <v>60</v>
      </c>
      <c r="J30" s="39">
        <v>23</v>
      </c>
      <c r="K30" s="39">
        <v>49</v>
      </c>
      <c r="L30" s="39">
        <v>34</v>
      </c>
    </row>
    <row r="31" spans="1:12" ht="14.5" x14ac:dyDescent="0.35">
      <c r="A31" s="38" t="s">
        <v>285</v>
      </c>
      <c r="B31" s="38" t="s">
        <v>347</v>
      </c>
      <c r="C31" s="38" t="s">
        <v>1092</v>
      </c>
      <c r="D31" s="39">
        <v>30</v>
      </c>
      <c r="E31" s="39">
        <v>22</v>
      </c>
      <c r="F31" s="39">
        <v>23</v>
      </c>
      <c r="G31" s="39">
        <v>88</v>
      </c>
      <c r="H31" s="39">
        <v>39</v>
      </c>
      <c r="I31" s="39">
        <v>41</v>
      </c>
      <c r="J31" s="39">
        <v>19</v>
      </c>
      <c r="K31" s="39">
        <v>12</v>
      </c>
      <c r="L31" s="39">
        <v>28</v>
      </c>
    </row>
    <row r="32" spans="1:12" ht="14.5" x14ac:dyDescent="0.35">
      <c r="A32" s="61" t="s">
        <v>285</v>
      </c>
      <c r="B32" s="61" t="s">
        <v>1303</v>
      </c>
      <c r="C32" s="61" t="s">
        <v>1092</v>
      </c>
      <c r="D32" s="62">
        <v>20</v>
      </c>
      <c r="E32" s="62">
        <v>15</v>
      </c>
      <c r="F32" s="62">
        <v>15</v>
      </c>
      <c r="G32" s="62">
        <v>84</v>
      </c>
      <c r="H32" s="62">
        <v>40</v>
      </c>
      <c r="I32" s="62">
        <v>35</v>
      </c>
      <c r="J32" s="62">
        <v>20</v>
      </c>
      <c r="K32" s="62">
        <v>21</v>
      </c>
      <c r="L32" s="62">
        <v>20</v>
      </c>
    </row>
    <row r="33" spans="1:12" ht="14.5" x14ac:dyDescent="0.35">
      <c r="A33" s="38" t="s">
        <v>285</v>
      </c>
      <c r="B33" s="38" t="s">
        <v>343</v>
      </c>
      <c r="C33" s="38" t="s">
        <v>1093</v>
      </c>
      <c r="D33" s="39">
        <v>1</v>
      </c>
      <c r="E33" s="39">
        <v>0</v>
      </c>
      <c r="F33" s="39">
        <v>1</v>
      </c>
      <c r="G33" s="39">
        <v>0</v>
      </c>
      <c r="H33" s="39">
        <v>0</v>
      </c>
      <c r="I33" s="39">
        <v>0</v>
      </c>
      <c r="J33" s="39">
        <v>1</v>
      </c>
      <c r="K33" s="39">
        <v>0</v>
      </c>
      <c r="L33" s="39">
        <v>1</v>
      </c>
    </row>
    <row r="34" spans="1:12" ht="14.5" x14ac:dyDescent="0.35">
      <c r="A34" s="38" t="s">
        <v>285</v>
      </c>
      <c r="B34" s="38" t="s">
        <v>344</v>
      </c>
      <c r="C34" s="38" t="s">
        <v>1093</v>
      </c>
      <c r="D34" s="39">
        <v>29</v>
      </c>
      <c r="E34" s="39">
        <v>29</v>
      </c>
      <c r="F34" s="39">
        <v>26</v>
      </c>
      <c r="G34" s="39">
        <v>25</v>
      </c>
      <c r="H34" s="39">
        <v>51</v>
      </c>
      <c r="I34" s="39">
        <v>37</v>
      </c>
      <c r="J34" s="39">
        <v>22</v>
      </c>
      <c r="K34" s="39">
        <v>21</v>
      </c>
      <c r="L34" s="39">
        <v>29</v>
      </c>
    </row>
    <row r="35" spans="1:12" ht="14.5" x14ac:dyDescent="0.35">
      <c r="A35" s="38" t="s">
        <v>285</v>
      </c>
      <c r="B35" s="38" t="s">
        <v>345</v>
      </c>
      <c r="C35" s="38" t="s">
        <v>1093</v>
      </c>
      <c r="D35" s="39">
        <v>129</v>
      </c>
      <c r="E35" s="39">
        <v>94</v>
      </c>
      <c r="F35" s="39">
        <v>86</v>
      </c>
      <c r="G35" s="39">
        <v>327</v>
      </c>
      <c r="H35" s="39">
        <v>210</v>
      </c>
      <c r="I35" s="39">
        <v>183</v>
      </c>
      <c r="J35" s="39">
        <v>103</v>
      </c>
      <c r="K35" s="39">
        <v>77</v>
      </c>
      <c r="L35" s="39">
        <v>138</v>
      </c>
    </row>
    <row r="36" spans="1:12" ht="14.5" x14ac:dyDescent="0.35">
      <c r="A36" s="38" t="s">
        <v>285</v>
      </c>
      <c r="B36" s="38" t="s">
        <v>346</v>
      </c>
      <c r="C36" s="38" t="s">
        <v>1093</v>
      </c>
      <c r="D36" s="39">
        <v>157</v>
      </c>
      <c r="E36" s="39">
        <v>123</v>
      </c>
      <c r="F36" s="39">
        <v>106</v>
      </c>
      <c r="G36" s="39">
        <v>306</v>
      </c>
      <c r="H36" s="39">
        <v>229</v>
      </c>
      <c r="I36" s="39">
        <v>220</v>
      </c>
      <c r="J36" s="39">
        <v>119</v>
      </c>
      <c r="K36" s="39">
        <v>159</v>
      </c>
      <c r="L36" s="39">
        <v>165</v>
      </c>
    </row>
    <row r="37" spans="1:12" ht="14.5" x14ac:dyDescent="0.35">
      <c r="A37" s="38" t="s">
        <v>285</v>
      </c>
      <c r="B37" s="38" t="s">
        <v>347</v>
      </c>
      <c r="C37" s="38" t="s">
        <v>1093</v>
      </c>
      <c r="D37" s="39">
        <v>149</v>
      </c>
      <c r="E37" s="39">
        <v>119</v>
      </c>
      <c r="F37" s="39">
        <v>103</v>
      </c>
      <c r="G37" s="39">
        <v>262</v>
      </c>
      <c r="H37" s="39">
        <v>207</v>
      </c>
      <c r="I37" s="39">
        <v>180</v>
      </c>
      <c r="J37" s="39">
        <v>112</v>
      </c>
      <c r="K37" s="39">
        <v>106</v>
      </c>
      <c r="L37" s="39">
        <v>146</v>
      </c>
    </row>
    <row r="38" spans="1:12" ht="14.5" x14ac:dyDescent="0.35">
      <c r="A38" s="61" t="s">
        <v>285</v>
      </c>
      <c r="B38" s="61" t="s">
        <v>1303</v>
      </c>
      <c r="C38" s="61" t="s">
        <v>1093</v>
      </c>
      <c r="D38" s="62">
        <v>127</v>
      </c>
      <c r="E38" s="62">
        <v>92</v>
      </c>
      <c r="F38" s="62">
        <v>80</v>
      </c>
      <c r="G38" s="62">
        <v>286</v>
      </c>
      <c r="H38" s="62">
        <v>195</v>
      </c>
      <c r="I38" s="62">
        <v>176</v>
      </c>
      <c r="J38" s="62">
        <v>102</v>
      </c>
      <c r="K38" s="62">
        <v>107</v>
      </c>
      <c r="L38" s="62">
        <v>129</v>
      </c>
    </row>
    <row r="39" spans="1:12" ht="14.5" x14ac:dyDescent="0.35">
      <c r="A39" s="38" t="s">
        <v>286</v>
      </c>
      <c r="B39" s="38" t="s">
        <v>343</v>
      </c>
      <c r="C39" s="38" t="s">
        <v>296</v>
      </c>
      <c r="D39" s="39">
        <v>2511</v>
      </c>
      <c r="E39" s="39">
        <v>1073</v>
      </c>
      <c r="F39" s="39">
        <v>2044</v>
      </c>
      <c r="G39" s="39">
        <v>1361</v>
      </c>
      <c r="H39" s="39">
        <v>541</v>
      </c>
      <c r="I39" s="39">
        <v>54</v>
      </c>
      <c r="J39" s="39" t="s">
        <v>1278</v>
      </c>
      <c r="K39" s="39" t="s">
        <v>1278</v>
      </c>
      <c r="L39" s="39">
        <v>7584</v>
      </c>
    </row>
    <row r="40" spans="1:12" ht="14.5" x14ac:dyDescent="0.35">
      <c r="A40" s="38" t="s">
        <v>286</v>
      </c>
      <c r="B40" s="38" t="s">
        <v>344</v>
      </c>
      <c r="C40" s="38" t="s">
        <v>296</v>
      </c>
      <c r="D40" s="39">
        <v>76458</v>
      </c>
      <c r="E40" s="39">
        <v>48277</v>
      </c>
      <c r="F40" s="39">
        <v>63908</v>
      </c>
      <c r="G40" s="39">
        <v>26517</v>
      </c>
      <c r="H40" s="39">
        <v>12201</v>
      </c>
      <c r="I40" s="39">
        <v>2815</v>
      </c>
      <c r="J40" s="39" t="s">
        <v>1278</v>
      </c>
      <c r="K40" s="39" t="s">
        <v>1278</v>
      </c>
      <c r="L40" s="39">
        <v>230176</v>
      </c>
    </row>
    <row r="41" spans="1:12" ht="14.5" x14ac:dyDescent="0.35">
      <c r="A41" s="38" t="s">
        <v>286</v>
      </c>
      <c r="B41" s="38" t="s">
        <v>345</v>
      </c>
      <c r="C41" s="38" t="s">
        <v>296</v>
      </c>
      <c r="D41" s="39">
        <v>199578</v>
      </c>
      <c r="E41" s="39">
        <v>127362</v>
      </c>
      <c r="F41" s="39">
        <v>152407</v>
      </c>
      <c r="G41" s="39">
        <v>74782</v>
      </c>
      <c r="H41" s="39">
        <v>36959</v>
      </c>
      <c r="I41" s="39">
        <v>10335</v>
      </c>
      <c r="J41" s="39" t="s">
        <v>1278</v>
      </c>
      <c r="K41" s="39" t="s">
        <v>1278</v>
      </c>
      <c r="L41" s="39">
        <v>601423</v>
      </c>
    </row>
    <row r="42" spans="1:12" ht="14.5" x14ac:dyDescent="0.35">
      <c r="A42" s="38" t="s">
        <v>286</v>
      </c>
      <c r="B42" s="38" t="s">
        <v>346</v>
      </c>
      <c r="C42" s="38" t="s">
        <v>296</v>
      </c>
      <c r="D42" s="39">
        <v>219444</v>
      </c>
      <c r="E42" s="39">
        <v>109281</v>
      </c>
      <c r="F42" s="39">
        <v>98164</v>
      </c>
      <c r="G42" s="39">
        <v>77792</v>
      </c>
      <c r="H42" s="39">
        <v>39205</v>
      </c>
      <c r="I42" s="39">
        <v>15363</v>
      </c>
      <c r="J42" s="39" t="s">
        <v>1278</v>
      </c>
      <c r="K42" s="39" t="s">
        <v>1278</v>
      </c>
      <c r="L42" s="39">
        <v>559249</v>
      </c>
    </row>
    <row r="43" spans="1:12" ht="14.5" x14ac:dyDescent="0.35">
      <c r="A43" s="38" t="s">
        <v>286</v>
      </c>
      <c r="B43" s="38" t="s">
        <v>347</v>
      </c>
      <c r="C43" s="38" t="s">
        <v>296</v>
      </c>
      <c r="D43" s="39">
        <v>41256</v>
      </c>
      <c r="E43" s="39">
        <v>15079</v>
      </c>
      <c r="F43" s="39">
        <v>12099</v>
      </c>
      <c r="G43" s="39">
        <v>11382</v>
      </c>
      <c r="H43" s="39">
        <v>6546</v>
      </c>
      <c r="I43" s="39">
        <v>1205</v>
      </c>
      <c r="J43" s="39" t="s">
        <v>1278</v>
      </c>
      <c r="K43" s="39" t="s">
        <v>1278</v>
      </c>
      <c r="L43" s="39">
        <v>87567</v>
      </c>
    </row>
    <row r="44" spans="1:12" ht="14.5" x14ac:dyDescent="0.35">
      <c r="A44" s="61" t="s">
        <v>286</v>
      </c>
      <c r="B44" s="61" t="s">
        <v>1303</v>
      </c>
      <c r="C44" s="61" t="s">
        <v>296</v>
      </c>
      <c r="D44" s="62">
        <v>539621</v>
      </c>
      <c r="E44" s="62">
        <v>301072</v>
      </c>
      <c r="F44" s="62">
        <v>328622</v>
      </c>
      <c r="G44" s="62">
        <v>192000</v>
      </c>
      <c r="H44" s="62">
        <v>95452</v>
      </c>
      <c r="I44" s="62">
        <v>29772</v>
      </c>
      <c r="J44" s="62" t="s">
        <v>1278</v>
      </c>
      <c r="K44" s="62" t="s">
        <v>1278</v>
      </c>
      <c r="L44" s="62">
        <v>1486539</v>
      </c>
    </row>
    <row r="45" spans="1:12" ht="14.5" x14ac:dyDescent="0.35">
      <c r="A45" s="38" t="s">
        <v>286</v>
      </c>
      <c r="B45" s="38" t="s">
        <v>343</v>
      </c>
      <c r="C45" s="38" t="s">
        <v>1092</v>
      </c>
      <c r="D45" s="39">
        <v>0</v>
      </c>
      <c r="E45" s="39">
        <v>0</v>
      </c>
      <c r="F45" s="39">
        <v>0</v>
      </c>
      <c r="G45" s="39">
        <v>0</v>
      </c>
      <c r="H45" s="39">
        <v>0</v>
      </c>
      <c r="I45" s="40" t="s">
        <v>166</v>
      </c>
      <c r="J45" s="40" t="s">
        <v>1278</v>
      </c>
      <c r="K45" s="40" t="s">
        <v>1278</v>
      </c>
      <c r="L45" s="39">
        <v>0</v>
      </c>
    </row>
    <row r="46" spans="1:12" ht="14.5" x14ac:dyDescent="0.35">
      <c r="A46" s="38" t="s">
        <v>286</v>
      </c>
      <c r="B46" s="38" t="s">
        <v>344</v>
      </c>
      <c r="C46" s="38" t="s">
        <v>1092</v>
      </c>
      <c r="D46" s="39">
        <v>7</v>
      </c>
      <c r="E46" s="39">
        <v>9</v>
      </c>
      <c r="F46" s="39">
        <v>6</v>
      </c>
      <c r="G46" s="39">
        <v>6</v>
      </c>
      <c r="H46" s="39">
        <v>8</v>
      </c>
      <c r="I46" s="39">
        <v>7</v>
      </c>
      <c r="J46" s="40" t="s">
        <v>1278</v>
      </c>
      <c r="K46" s="40" t="s">
        <v>1278</v>
      </c>
      <c r="L46" s="39">
        <v>7</v>
      </c>
    </row>
    <row r="47" spans="1:12" ht="14.5" x14ac:dyDescent="0.35">
      <c r="A47" s="38" t="s">
        <v>286</v>
      </c>
      <c r="B47" s="38" t="s">
        <v>345</v>
      </c>
      <c r="C47" s="38" t="s">
        <v>1092</v>
      </c>
      <c r="D47" s="39">
        <v>16</v>
      </c>
      <c r="E47" s="39">
        <v>15</v>
      </c>
      <c r="F47" s="39">
        <v>15</v>
      </c>
      <c r="G47" s="39">
        <v>33</v>
      </c>
      <c r="H47" s="39">
        <v>25</v>
      </c>
      <c r="I47" s="39">
        <v>17</v>
      </c>
      <c r="J47" s="40" t="s">
        <v>1278</v>
      </c>
      <c r="K47" s="40" t="s">
        <v>1278</v>
      </c>
      <c r="L47" s="39">
        <v>17</v>
      </c>
    </row>
    <row r="48" spans="1:12" ht="14.5" x14ac:dyDescent="0.35">
      <c r="A48" s="38" t="s">
        <v>286</v>
      </c>
      <c r="B48" s="38" t="s">
        <v>346</v>
      </c>
      <c r="C48" s="38" t="s">
        <v>1092</v>
      </c>
      <c r="D48" s="39">
        <v>23</v>
      </c>
      <c r="E48" s="39">
        <v>17</v>
      </c>
      <c r="F48" s="39">
        <v>21</v>
      </c>
      <c r="G48" s="39">
        <v>47</v>
      </c>
      <c r="H48" s="39">
        <v>35</v>
      </c>
      <c r="I48" s="39">
        <v>26</v>
      </c>
      <c r="J48" s="40" t="s">
        <v>1278</v>
      </c>
      <c r="K48" s="40" t="s">
        <v>1278</v>
      </c>
      <c r="L48" s="39">
        <v>24</v>
      </c>
    </row>
    <row r="49" spans="1:12" ht="14.5" x14ac:dyDescent="0.35">
      <c r="A49" s="38" t="s">
        <v>286</v>
      </c>
      <c r="B49" s="38" t="s">
        <v>347</v>
      </c>
      <c r="C49" s="38" t="s">
        <v>1092</v>
      </c>
      <c r="D49" s="39">
        <v>22</v>
      </c>
      <c r="E49" s="39">
        <v>14</v>
      </c>
      <c r="F49" s="39">
        <v>21</v>
      </c>
      <c r="G49" s="39">
        <v>38</v>
      </c>
      <c r="H49" s="39">
        <v>28</v>
      </c>
      <c r="I49" s="39">
        <v>18</v>
      </c>
      <c r="J49" s="40" t="s">
        <v>1278</v>
      </c>
      <c r="K49" s="40" t="s">
        <v>1278</v>
      </c>
      <c r="L49" s="39">
        <v>22</v>
      </c>
    </row>
    <row r="50" spans="1:12" ht="14.5" x14ac:dyDescent="0.35">
      <c r="A50" s="61" t="s">
        <v>286</v>
      </c>
      <c r="B50" s="61" t="s">
        <v>1303</v>
      </c>
      <c r="C50" s="61" t="s">
        <v>1092</v>
      </c>
      <c r="D50" s="62">
        <v>15</v>
      </c>
      <c r="E50" s="62">
        <v>13</v>
      </c>
      <c r="F50" s="62">
        <v>13</v>
      </c>
      <c r="G50" s="62">
        <v>29</v>
      </c>
      <c r="H50" s="62">
        <v>24</v>
      </c>
      <c r="I50" s="62">
        <v>18</v>
      </c>
      <c r="J50" s="73" t="s">
        <v>1278</v>
      </c>
      <c r="K50" s="73" t="s">
        <v>1278</v>
      </c>
      <c r="L50" s="62">
        <v>16</v>
      </c>
    </row>
    <row r="51" spans="1:12" ht="14.5" x14ac:dyDescent="0.35">
      <c r="A51" s="38" t="s">
        <v>286</v>
      </c>
      <c r="B51" s="38" t="s">
        <v>343</v>
      </c>
      <c r="C51" s="38" t="s">
        <v>1093</v>
      </c>
      <c r="D51" s="39">
        <v>2</v>
      </c>
      <c r="E51" s="39">
        <v>0</v>
      </c>
      <c r="F51" s="39">
        <v>1</v>
      </c>
      <c r="G51" s="39">
        <v>0</v>
      </c>
      <c r="H51" s="39">
        <v>1</v>
      </c>
      <c r="I51" s="40" t="s">
        <v>166</v>
      </c>
      <c r="J51" s="40" t="s">
        <v>1278</v>
      </c>
      <c r="K51" s="40" t="s">
        <v>1278</v>
      </c>
      <c r="L51" s="39">
        <v>1</v>
      </c>
    </row>
    <row r="52" spans="1:12" ht="14.5" x14ac:dyDescent="0.35">
      <c r="A52" s="38" t="s">
        <v>286</v>
      </c>
      <c r="B52" s="38" t="s">
        <v>344</v>
      </c>
      <c r="C52" s="38" t="s">
        <v>1093</v>
      </c>
      <c r="D52" s="39">
        <v>27</v>
      </c>
      <c r="E52" s="39">
        <v>31</v>
      </c>
      <c r="F52" s="39">
        <v>20</v>
      </c>
      <c r="G52" s="39">
        <v>22</v>
      </c>
      <c r="H52" s="39">
        <v>25</v>
      </c>
      <c r="I52" s="39">
        <v>18</v>
      </c>
      <c r="J52" s="40" t="s">
        <v>1278</v>
      </c>
      <c r="K52" s="40" t="s">
        <v>1278</v>
      </c>
      <c r="L52" s="39">
        <v>25</v>
      </c>
    </row>
    <row r="53" spans="1:12" ht="14.5" x14ac:dyDescent="0.35">
      <c r="A53" s="38" t="s">
        <v>286</v>
      </c>
      <c r="B53" s="38" t="s">
        <v>345</v>
      </c>
      <c r="C53" s="38" t="s">
        <v>1093</v>
      </c>
      <c r="D53" s="39">
        <v>93</v>
      </c>
      <c r="E53" s="39">
        <v>97</v>
      </c>
      <c r="F53" s="39">
        <v>66</v>
      </c>
      <c r="G53" s="39">
        <v>152</v>
      </c>
      <c r="H53" s="39">
        <v>140</v>
      </c>
      <c r="I53" s="39">
        <v>51</v>
      </c>
      <c r="J53" s="40" t="s">
        <v>1278</v>
      </c>
      <c r="K53" s="40" t="s">
        <v>1278</v>
      </c>
      <c r="L53" s="39">
        <v>96</v>
      </c>
    </row>
    <row r="54" spans="1:12" ht="14.5" x14ac:dyDescent="0.35">
      <c r="A54" s="38" t="s">
        <v>286</v>
      </c>
      <c r="B54" s="38" t="s">
        <v>346</v>
      </c>
      <c r="C54" s="38" t="s">
        <v>1093</v>
      </c>
      <c r="D54" s="39">
        <v>133</v>
      </c>
      <c r="E54" s="39">
        <v>114</v>
      </c>
      <c r="F54" s="39">
        <v>93</v>
      </c>
      <c r="G54" s="39">
        <v>168</v>
      </c>
      <c r="H54" s="39">
        <v>144</v>
      </c>
      <c r="I54" s="39">
        <v>102</v>
      </c>
      <c r="J54" s="40" t="s">
        <v>1278</v>
      </c>
      <c r="K54" s="40" t="s">
        <v>1278</v>
      </c>
      <c r="L54" s="39">
        <v>129</v>
      </c>
    </row>
    <row r="55" spans="1:12" ht="14.5" x14ac:dyDescent="0.35">
      <c r="A55" s="38" t="s">
        <v>286</v>
      </c>
      <c r="B55" s="38" t="s">
        <v>347</v>
      </c>
      <c r="C55" s="38" t="s">
        <v>1093</v>
      </c>
      <c r="D55" s="39">
        <v>129</v>
      </c>
      <c r="E55" s="39">
        <v>98</v>
      </c>
      <c r="F55" s="39">
        <v>91</v>
      </c>
      <c r="G55" s="39">
        <v>151</v>
      </c>
      <c r="H55" s="39">
        <v>126</v>
      </c>
      <c r="I55" s="39">
        <v>114</v>
      </c>
      <c r="J55" s="40" t="s">
        <v>1278</v>
      </c>
      <c r="K55" s="40" t="s">
        <v>1278</v>
      </c>
      <c r="L55" s="39">
        <v>122</v>
      </c>
    </row>
    <row r="56" spans="1:12" ht="14.5" x14ac:dyDescent="0.35">
      <c r="A56" s="61" t="s">
        <v>286</v>
      </c>
      <c r="B56" s="61" t="s">
        <v>1303</v>
      </c>
      <c r="C56" s="61" t="s">
        <v>1093</v>
      </c>
      <c r="D56" s="62">
        <v>107</v>
      </c>
      <c r="E56" s="62">
        <v>93</v>
      </c>
      <c r="F56" s="62">
        <v>68</v>
      </c>
      <c r="G56" s="62">
        <v>147</v>
      </c>
      <c r="H56" s="62">
        <v>130</v>
      </c>
      <c r="I56" s="62">
        <v>80</v>
      </c>
      <c r="J56" s="73" t="s">
        <v>1278</v>
      </c>
      <c r="K56" s="73" t="s">
        <v>1278</v>
      </c>
      <c r="L56" s="62">
        <v>102</v>
      </c>
    </row>
    <row r="57" spans="1:12" ht="14.5" x14ac:dyDescent="0.35">
      <c r="A57" s="38" t="s">
        <v>288</v>
      </c>
      <c r="B57" s="38" t="s">
        <v>343</v>
      </c>
      <c r="C57" s="38" t="s">
        <v>296</v>
      </c>
      <c r="D57" s="39">
        <v>1659</v>
      </c>
      <c r="E57" s="39">
        <v>645</v>
      </c>
      <c r="F57" s="39" t="s">
        <v>1278</v>
      </c>
      <c r="G57" s="39">
        <v>797</v>
      </c>
      <c r="H57" s="39">
        <v>731</v>
      </c>
      <c r="I57" s="39" t="s">
        <v>1278</v>
      </c>
      <c r="J57" s="39" t="s">
        <v>1278</v>
      </c>
      <c r="K57" s="39">
        <v>380</v>
      </c>
      <c r="L57" s="39">
        <v>4212</v>
      </c>
    </row>
    <row r="58" spans="1:12" ht="14.5" x14ac:dyDescent="0.35">
      <c r="A58" s="38" t="s">
        <v>288</v>
      </c>
      <c r="B58" s="38" t="s">
        <v>344</v>
      </c>
      <c r="C58" s="38" t="s">
        <v>296</v>
      </c>
      <c r="D58" s="39">
        <v>58556</v>
      </c>
      <c r="E58" s="39">
        <v>22362</v>
      </c>
      <c r="F58" s="39" t="s">
        <v>1278</v>
      </c>
      <c r="G58" s="39">
        <v>18186</v>
      </c>
      <c r="H58" s="39">
        <v>18105</v>
      </c>
      <c r="I58" s="39" t="s">
        <v>1278</v>
      </c>
      <c r="J58" s="39" t="s">
        <v>1278</v>
      </c>
      <c r="K58" s="39">
        <v>9898</v>
      </c>
      <c r="L58" s="39">
        <v>127107</v>
      </c>
    </row>
    <row r="59" spans="1:12" ht="14.5" x14ac:dyDescent="0.35">
      <c r="A59" s="38" t="s">
        <v>288</v>
      </c>
      <c r="B59" s="38" t="s">
        <v>345</v>
      </c>
      <c r="C59" s="38" t="s">
        <v>296</v>
      </c>
      <c r="D59" s="39">
        <v>172655</v>
      </c>
      <c r="E59" s="39">
        <v>55830</v>
      </c>
      <c r="F59" s="39" t="s">
        <v>1278</v>
      </c>
      <c r="G59" s="39">
        <v>46760</v>
      </c>
      <c r="H59" s="39">
        <v>55987</v>
      </c>
      <c r="I59" s="39" t="s">
        <v>1278</v>
      </c>
      <c r="J59" s="39" t="s">
        <v>1278</v>
      </c>
      <c r="K59" s="39">
        <v>20118</v>
      </c>
      <c r="L59" s="39">
        <v>351350</v>
      </c>
    </row>
    <row r="60" spans="1:12" ht="14.5" x14ac:dyDescent="0.35">
      <c r="A60" s="38" t="s">
        <v>288</v>
      </c>
      <c r="B60" s="38" t="s">
        <v>346</v>
      </c>
      <c r="C60" s="38" t="s">
        <v>296</v>
      </c>
      <c r="D60" s="39">
        <v>258962</v>
      </c>
      <c r="E60" s="39">
        <v>75035</v>
      </c>
      <c r="F60" s="39" t="s">
        <v>1278</v>
      </c>
      <c r="G60" s="39">
        <v>84133</v>
      </c>
      <c r="H60" s="39">
        <v>59264</v>
      </c>
      <c r="I60" s="39" t="s">
        <v>1278</v>
      </c>
      <c r="J60" s="39" t="s">
        <v>1278</v>
      </c>
      <c r="K60" s="39">
        <v>34574</v>
      </c>
      <c r="L60" s="39">
        <v>511968</v>
      </c>
    </row>
    <row r="61" spans="1:12" ht="14.5" x14ac:dyDescent="0.35">
      <c r="A61" s="38" t="s">
        <v>288</v>
      </c>
      <c r="B61" s="38" t="s">
        <v>347</v>
      </c>
      <c r="C61" s="38" t="s">
        <v>296</v>
      </c>
      <c r="D61" s="39">
        <v>90070</v>
      </c>
      <c r="E61" s="39">
        <v>21051</v>
      </c>
      <c r="F61" s="39" t="s">
        <v>1278</v>
      </c>
      <c r="G61" s="39">
        <v>20893</v>
      </c>
      <c r="H61" s="39">
        <v>9926</v>
      </c>
      <c r="I61" s="39" t="s">
        <v>1278</v>
      </c>
      <c r="J61" s="39" t="s">
        <v>1278</v>
      </c>
      <c r="K61" s="39">
        <v>6586</v>
      </c>
      <c r="L61" s="39">
        <v>148526</v>
      </c>
    </row>
    <row r="62" spans="1:12" ht="14.5" x14ac:dyDescent="0.35">
      <c r="A62" s="61" t="s">
        <v>288</v>
      </c>
      <c r="B62" s="61" t="s">
        <v>1303</v>
      </c>
      <c r="C62" s="61" t="s">
        <v>296</v>
      </c>
      <c r="D62" s="62">
        <v>582628</v>
      </c>
      <c r="E62" s="62">
        <v>174923</v>
      </c>
      <c r="F62" s="62" t="s">
        <v>1278</v>
      </c>
      <c r="G62" s="62">
        <v>170769</v>
      </c>
      <c r="H62" s="62">
        <v>144013</v>
      </c>
      <c r="I62" s="62" t="s">
        <v>1278</v>
      </c>
      <c r="J62" s="62" t="s">
        <v>1278</v>
      </c>
      <c r="K62" s="62">
        <v>71556</v>
      </c>
      <c r="L62" s="62">
        <v>1143889</v>
      </c>
    </row>
    <row r="63" spans="1:12" ht="14.5" x14ac:dyDescent="0.35">
      <c r="A63" s="38" t="s">
        <v>288</v>
      </c>
      <c r="B63" s="38" t="s">
        <v>343</v>
      </c>
      <c r="C63" s="38" t="s">
        <v>1092</v>
      </c>
      <c r="D63" s="39">
        <v>0</v>
      </c>
      <c r="E63" s="39">
        <v>0</v>
      </c>
      <c r="F63" s="40" t="s">
        <v>1278</v>
      </c>
      <c r="G63" s="39">
        <v>0</v>
      </c>
      <c r="H63" s="39">
        <v>0</v>
      </c>
      <c r="I63" s="40" t="s">
        <v>1278</v>
      </c>
      <c r="J63" s="40" t="s">
        <v>1278</v>
      </c>
      <c r="K63" s="39">
        <v>0</v>
      </c>
      <c r="L63" s="39">
        <v>0</v>
      </c>
    </row>
    <row r="64" spans="1:12" ht="14.5" x14ac:dyDescent="0.35">
      <c r="A64" s="38" t="s">
        <v>288</v>
      </c>
      <c r="B64" s="38" t="s">
        <v>344</v>
      </c>
      <c r="C64" s="38" t="s">
        <v>1092</v>
      </c>
      <c r="D64" s="39">
        <v>6</v>
      </c>
      <c r="E64" s="39">
        <v>7</v>
      </c>
      <c r="F64" s="40" t="s">
        <v>1278</v>
      </c>
      <c r="G64" s="39">
        <v>5</v>
      </c>
      <c r="H64" s="39">
        <v>9</v>
      </c>
      <c r="I64" s="40" t="s">
        <v>1278</v>
      </c>
      <c r="J64" s="40" t="s">
        <v>1278</v>
      </c>
      <c r="K64" s="39">
        <v>10</v>
      </c>
      <c r="L64" s="39">
        <v>7</v>
      </c>
    </row>
    <row r="65" spans="1:12" ht="14.5" x14ac:dyDescent="0.35">
      <c r="A65" s="38" t="s">
        <v>288</v>
      </c>
      <c r="B65" s="38" t="s">
        <v>345</v>
      </c>
      <c r="C65" s="38" t="s">
        <v>1092</v>
      </c>
      <c r="D65" s="39">
        <v>12</v>
      </c>
      <c r="E65" s="39">
        <v>17</v>
      </c>
      <c r="F65" s="40" t="s">
        <v>1278</v>
      </c>
      <c r="G65" s="39">
        <v>18</v>
      </c>
      <c r="H65" s="39">
        <v>24</v>
      </c>
      <c r="I65" s="40" t="s">
        <v>1278</v>
      </c>
      <c r="J65" s="40" t="s">
        <v>1278</v>
      </c>
      <c r="K65" s="39">
        <v>35</v>
      </c>
      <c r="L65" s="39">
        <v>15</v>
      </c>
    </row>
    <row r="66" spans="1:12" ht="14.5" x14ac:dyDescent="0.35">
      <c r="A66" s="38" t="s">
        <v>288</v>
      </c>
      <c r="B66" s="38" t="s">
        <v>346</v>
      </c>
      <c r="C66" s="38" t="s">
        <v>1092</v>
      </c>
      <c r="D66" s="39">
        <v>13</v>
      </c>
      <c r="E66" s="39">
        <v>23</v>
      </c>
      <c r="F66" s="40" t="s">
        <v>1278</v>
      </c>
      <c r="G66" s="39">
        <v>29</v>
      </c>
      <c r="H66" s="39">
        <v>28</v>
      </c>
      <c r="I66" s="40" t="s">
        <v>1278</v>
      </c>
      <c r="J66" s="40" t="s">
        <v>1278</v>
      </c>
      <c r="K66" s="39">
        <v>52</v>
      </c>
      <c r="L66" s="39">
        <v>20</v>
      </c>
    </row>
    <row r="67" spans="1:12" ht="14.5" x14ac:dyDescent="0.35">
      <c r="A67" s="38" t="s">
        <v>288</v>
      </c>
      <c r="B67" s="38" t="s">
        <v>347</v>
      </c>
      <c r="C67" s="38" t="s">
        <v>1092</v>
      </c>
      <c r="D67" s="39">
        <v>10</v>
      </c>
      <c r="E67" s="39">
        <v>25</v>
      </c>
      <c r="F67" s="40" t="s">
        <v>1278</v>
      </c>
      <c r="G67" s="39">
        <v>26</v>
      </c>
      <c r="H67" s="39">
        <v>24</v>
      </c>
      <c r="I67" s="40" t="s">
        <v>1278</v>
      </c>
      <c r="J67" s="40" t="s">
        <v>1278</v>
      </c>
      <c r="K67" s="39">
        <v>33</v>
      </c>
      <c r="L67" s="39">
        <v>15</v>
      </c>
    </row>
    <row r="68" spans="1:12" ht="14.5" x14ac:dyDescent="0.35">
      <c r="A68" s="61" t="s">
        <v>288</v>
      </c>
      <c r="B68" s="61" t="s">
        <v>1303</v>
      </c>
      <c r="C68" s="61" t="s">
        <v>1092</v>
      </c>
      <c r="D68" s="62">
        <v>11</v>
      </c>
      <c r="E68" s="62">
        <v>17</v>
      </c>
      <c r="F68" s="73" t="s">
        <v>1278</v>
      </c>
      <c r="G68" s="62">
        <v>20</v>
      </c>
      <c r="H68" s="62">
        <v>21</v>
      </c>
      <c r="I68" s="73" t="s">
        <v>1278</v>
      </c>
      <c r="J68" s="73" t="s">
        <v>1278</v>
      </c>
      <c r="K68" s="62">
        <v>33</v>
      </c>
      <c r="L68" s="62">
        <v>15</v>
      </c>
    </row>
    <row r="69" spans="1:12" ht="14.5" x14ac:dyDescent="0.35">
      <c r="A69" s="38" t="s">
        <v>288</v>
      </c>
      <c r="B69" s="38" t="s">
        <v>343</v>
      </c>
      <c r="C69" s="38" t="s">
        <v>1093</v>
      </c>
      <c r="D69" s="39">
        <v>1</v>
      </c>
      <c r="E69" s="39">
        <v>0</v>
      </c>
      <c r="F69" s="40" t="s">
        <v>1278</v>
      </c>
      <c r="G69" s="39">
        <v>0</v>
      </c>
      <c r="H69" s="39">
        <v>1</v>
      </c>
      <c r="I69" s="40" t="s">
        <v>1278</v>
      </c>
      <c r="J69" s="40" t="s">
        <v>1278</v>
      </c>
      <c r="K69" s="39">
        <v>1</v>
      </c>
      <c r="L69" s="39">
        <v>1</v>
      </c>
    </row>
    <row r="70" spans="1:12" ht="14.5" x14ac:dyDescent="0.35">
      <c r="A70" s="38" t="s">
        <v>288</v>
      </c>
      <c r="B70" s="38" t="s">
        <v>344</v>
      </c>
      <c r="C70" s="38" t="s">
        <v>1093</v>
      </c>
      <c r="D70" s="39">
        <v>17</v>
      </c>
      <c r="E70" s="39">
        <v>18</v>
      </c>
      <c r="F70" s="40" t="s">
        <v>1278</v>
      </c>
      <c r="G70" s="39">
        <v>17</v>
      </c>
      <c r="H70" s="39">
        <v>27</v>
      </c>
      <c r="I70" s="40" t="s">
        <v>1278</v>
      </c>
      <c r="J70" s="40" t="s">
        <v>1278</v>
      </c>
      <c r="K70" s="39">
        <v>36</v>
      </c>
      <c r="L70" s="39">
        <v>20</v>
      </c>
    </row>
    <row r="71" spans="1:12" ht="14.5" x14ac:dyDescent="0.35">
      <c r="A71" s="38" t="s">
        <v>288</v>
      </c>
      <c r="B71" s="38" t="s">
        <v>345</v>
      </c>
      <c r="C71" s="38" t="s">
        <v>1093</v>
      </c>
      <c r="D71" s="39">
        <v>47</v>
      </c>
      <c r="E71" s="39">
        <v>59</v>
      </c>
      <c r="F71" s="40" t="s">
        <v>1278</v>
      </c>
      <c r="G71" s="39">
        <v>63</v>
      </c>
      <c r="H71" s="39">
        <v>94</v>
      </c>
      <c r="I71" s="40" t="s">
        <v>1278</v>
      </c>
      <c r="J71" s="40" t="s">
        <v>1278</v>
      </c>
      <c r="K71" s="39">
        <v>155</v>
      </c>
      <c r="L71" s="39">
        <v>67</v>
      </c>
    </row>
    <row r="72" spans="1:12" ht="14.5" x14ac:dyDescent="0.35">
      <c r="A72" s="38" t="s">
        <v>288</v>
      </c>
      <c r="B72" s="38" t="s">
        <v>346</v>
      </c>
      <c r="C72" s="38" t="s">
        <v>1093</v>
      </c>
      <c r="D72" s="39">
        <v>84</v>
      </c>
      <c r="E72" s="39">
        <v>92</v>
      </c>
      <c r="F72" s="40" t="s">
        <v>1278</v>
      </c>
      <c r="G72" s="39">
        <v>111</v>
      </c>
      <c r="H72" s="39">
        <v>127</v>
      </c>
      <c r="I72" s="40" t="s">
        <v>1278</v>
      </c>
      <c r="J72" s="40" t="s">
        <v>1278</v>
      </c>
      <c r="K72" s="39">
        <v>191</v>
      </c>
      <c r="L72" s="39">
        <v>104</v>
      </c>
    </row>
    <row r="73" spans="1:12" ht="14.5" x14ac:dyDescent="0.35">
      <c r="A73" s="38" t="s">
        <v>288</v>
      </c>
      <c r="B73" s="38" t="s">
        <v>347</v>
      </c>
      <c r="C73" s="38" t="s">
        <v>1093</v>
      </c>
      <c r="D73" s="39">
        <v>80</v>
      </c>
      <c r="E73" s="39">
        <v>106</v>
      </c>
      <c r="F73" s="40" t="s">
        <v>1278</v>
      </c>
      <c r="G73" s="39">
        <v>116</v>
      </c>
      <c r="H73" s="39">
        <v>122</v>
      </c>
      <c r="I73" s="40" t="s">
        <v>1278</v>
      </c>
      <c r="J73" s="40" t="s">
        <v>1278</v>
      </c>
      <c r="K73" s="39">
        <v>157</v>
      </c>
      <c r="L73" s="39">
        <v>96</v>
      </c>
    </row>
    <row r="74" spans="1:12" ht="14.5" x14ac:dyDescent="0.35">
      <c r="A74" s="61" t="s">
        <v>288</v>
      </c>
      <c r="B74" s="61" t="s">
        <v>1303</v>
      </c>
      <c r="C74" s="61" t="s">
        <v>1093</v>
      </c>
      <c r="D74" s="62">
        <v>66</v>
      </c>
      <c r="E74" s="62">
        <v>75</v>
      </c>
      <c r="F74" s="73" t="s">
        <v>1278</v>
      </c>
      <c r="G74" s="62">
        <v>91</v>
      </c>
      <c r="H74" s="62">
        <v>103</v>
      </c>
      <c r="I74" s="73" t="s">
        <v>1278</v>
      </c>
      <c r="J74" s="73" t="s">
        <v>1278</v>
      </c>
      <c r="K74" s="62">
        <v>165</v>
      </c>
      <c r="L74" s="62">
        <v>84</v>
      </c>
    </row>
    <row r="75" spans="1:12" ht="14.5" x14ac:dyDescent="0.35">
      <c r="A75" s="46" t="s">
        <v>289</v>
      </c>
      <c r="B75" s="46" t="s">
        <v>343</v>
      </c>
      <c r="C75" s="46" t="s">
        <v>296</v>
      </c>
      <c r="D75" s="47">
        <v>26763</v>
      </c>
      <c r="E75" s="47">
        <v>17166</v>
      </c>
      <c r="F75" s="47">
        <v>19237</v>
      </c>
      <c r="G75" s="47">
        <v>10575</v>
      </c>
      <c r="H75" s="47">
        <v>8245</v>
      </c>
      <c r="I75" s="47">
        <v>1417</v>
      </c>
      <c r="J75" s="47">
        <v>1027</v>
      </c>
      <c r="K75" s="47">
        <v>1958</v>
      </c>
      <c r="L75" s="47">
        <v>86388</v>
      </c>
    </row>
    <row r="76" spans="1:12" ht="14.5" x14ac:dyDescent="0.35">
      <c r="A76" s="46" t="s">
        <v>289</v>
      </c>
      <c r="B76" s="46" t="s">
        <v>344</v>
      </c>
      <c r="C76" s="46" t="s">
        <v>296</v>
      </c>
      <c r="D76" s="47">
        <v>506307</v>
      </c>
      <c r="E76" s="47">
        <v>350255</v>
      </c>
      <c r="F76" s="47">
        <v>377378</v>
      </c>
      <c r="G76" s="47">
        <v>166854</v>
      </c>
      <c r="H76" s="47">
        <v>111453</v>
      </c>
      <c r="I76" s="47">
        <v>35144</v>
      </c>
      <c r="J76" s="47">
        <v>24175</v>
      </c>
      <c r="K76" s="47">
        <v>32293</v>
      </c>
      <c r="L76" s="47">
        <v>1603859</v>
      </c>
    </row>
    <row r="77" spans="1:12" ht="14.5" x14ac:dyDescent="0.35">
      <c r="A77" s="46" t="s">
        <v>289</v>
      </c>
      <c r="B77" s="46" t="s">
        <v>345</v>
      </c>
      <c r="C77" s="46" t="s">
        <v>296</v>
      </c>
      <c r="D77" s="47">
        <v>1205720</v>
      </c>
      <c r="E77" s="47">
        <v>866007</v>
      </c>
      <c r="F77" s="47">
        <v>823990</v>
      </c>
      <c r="G77" s="47">
        <v>405875</v>
      </c>
      <c r="H77" s="47">
        <v>256411</v>
      </c>
      <c r="I77" s="47">
        <v>79131</v>
      </c>
      <c r="J77" s="47">
        <v>72921</v>
      </c>
      <c r="K77" s="47">
        <v>61025</v>
      </c>
      <c r="L77" s="47">
        <v>3771080</v>
      </c>
    </row>
    <row r="78" spans="1:12" ht="14.5" x14ac:dyDescent="0.35">
      <c r="A78" s="46" t="s">
        <v>289</v>
      </c>
      <c r="B78" s="46" t="s">
        <v>346</v>
      </c>
      <c r="C78" s="46" t="s">
        <v>296</v>
      </c>
      <c r="D78" s="47">
        <v>1123793</v>
      </c>
      <c r="E78" s="47">
        <v>637184</v>
      </c>
      <c r="F78" s="47">
        <v>471766</v>
      </c>
      <c r="G78" s="47">
        <v>383499</v>
      </c>
      <c r="H78" s="47">
        <v>208317</v>
      </c>
      <c r="I78" s="47">
        <v>59187</v>
      </c>
      <c r="J78" s="47">
        <v>57824</v>
      </c>
      <c r="K78" s="47">
        <v>77944</v>
      </c>
      <c r="L78" s="47">
        <v>3019514</v>
      </c>
    </row>
    <row r="79" spans="1:12" ht="14.5" x14ac:dyDescent="0.35">
      <c r="A79" s="46" t="s">
        <v>289</v>
      </c>
      <c r="B79" s="46" t="s">
        <v>347</v>
      </c>
      <c r="C79" s="46" t="s">
        <v>296</v>
      </c>
      <c r="D79" s="47">
        <v>239333</v>
      </c>
      <c r="E79" s="47">
        <v>101153</v>
      </c>
      <c r="F79" s="47">
        <v>61131</v>
      </c>
      <c r="G79" s="47">
        <v>47778</v>
      </c>
      <c r="H79" s="47">
        <v>33656</v>
      </c>
      <c r="I79" s="47">
        <v>6927</v>
      </c>
      <c r="J79" s="47">
        <v>10129</v>
      </c>
      <c r="K79" s="47">
        <v>13256</v>
      </c>
      <c r="L79" s="47">
        <v>513363</v>
      </c>
    </row>
    <row r="80" spans="1:12" ht="14.5" x14ac:dyDescent="0.35">
      <c r="A80" s="46" t="s">
        <v>289</v>
      </c>
      <c r="B80" s="60" t="s">
        <v>1275</v>
      </c>
      <c r="C80" s="46" t="s">
        <v>296</v>
      </c>
      <c r="D80" s="47">
        <v>3104438</v>
      </c>
      <c r="E80" s="47">
        <v>1971765</v>
      </c>
      <c r="F80" s="47">
        <v>1753502</v>
      </c>
      <c r="G80" s="47">
        <v>1014749</v>
      </c>
      <c r="H80" s="47">
        <v>618082</v>
      </c>
      <c r="I80" s="47">
        <v>181806</v>
      </c>
      <c r="J80" s="47">
        <v>166373</v>
      </c>
      <c r="K80" s="47">
        <v>186476</v>
      </c>
      <c r="L80" s="47">
        <v>8997191</v>
      </c>
    </row>
    <row r="81" spans="1:12" ht="14.5" x14ac:dyDescent="0.35">
      <c r="A81" s="46" t="s">
        <v>289</v>
      </c>
      <c r="B81" s="46" t="s">
        <v>343</v>
      </c>
      <c r="C81" s="46" t="s">
        <v>1092</v>
      </c>
      <c r="D81" s="47">
        <v>0</v>
      </c>
      <c r="E81" s="47">
        <v>0</v>
      </c>
      <c r="F81" s="47">
        <v>1</v>
      </c>
      <c r="G81" s="47">
        <v>0</v>
      </c>
      <c r="H81" s="47">
        <v>0</v>
      </c>
      <c r="I81" s="47">
        <v>0</v>
      </c>
      <c r="J81" s="47">
        <v>0</v>
      </c>
      <c r="K81" s="47">
        <v>0</v>
      </c>
      <c r="L81" s="47">
        <v>0</v>
      </c>
    </row>
    <row r="82" spans="1:12" ht="14.5" x14ac:dyDescent="0.35">
      <c r="A82" s="46" t="s">
        <v>289</v>
      </c>
      <c r="B82" s="46" t="s">
        <v>344</v>
      </c>
      <c r="C82" s="46" t="s">
        <v>1092</v>
      </c>
      <c r="D82" s="47">
        <v>7</v>
      </c>
      <c r="E82" s="47">
        <v>8</v>
      </c>
      <c r="F82" s="47">
        <v>7</v>
      </c>
      <c r="G82" s="47">
        <v>7</v>
      </c>
      <c r="H82" s="47">
        <v>10</v>
      </c>
      <c r="I82" s="47">
        <v>11</v>
      </c>
      <c r="J82" s="47">
        <v>8</v>
      </c>
      <c r="K82" s="47">
        <v>11</v>
      </c>
      <c r="L82" s="47">
        <v>7</v>
      </c>
    </row>
    <row r="83" spans="1:12" ht="14.5" x14ac:dyDescent="0.35">
      <c r="A83" s="46" t="s">
        <v>289</v>
      </c>
      <c r="B83" s="46" t="s">
        <v>345</v>
      </c>
      <c r="C83" s="46" t="s">
        <v>1092</v>
      </c>
      <c r="D83" s="47">
        <v>19</v>
      </c>
      <c r="E83" s="47">
        <v>16</v>
      </c>
      <c r="F83" s="47">
        <v>18</v>
      </c>
      <c r="G83" s="47">
        <v>69</v>
      </c>
      <c r="H83" s="47">
        <v>38</v>
      </c>
      <c r="I83" s="47">
        <v>46</v>
      </c>
      <c r="J83" s="47">
        <v>30</v>
      </c>
      <c r="K83" s="47">
        <v>43</v>
      </c>
      <c r="L83" s="47">
        <v>22</v>
      </c>
    </row>
    <row r="84" spans="1:12" ht="14.5" x14ac:dyDescent="0.35">
      <c r="A84" s="46" t="s">
        <v>289</v>
      </c>
      <c r="B84" s="46" t="s">
        <v>346</v>
      </c>
      <c r="C84" s="46" t="s">
        <v>1092</v>
      </c>
      <c r="D84" s="47">
        <v>24</v>
      </c>
      <c r="E84" s="47">
        <v>22</v>
      </c>
      <c r="F84" s="47">
        <v>24</v>
      </c>
      <c r="G84" s="47">
        <v>67</v>
      </c>
      <c r="H84" s="47">
        <v>41</v>
      </c>
      <c r="I84" s="47">
        <v>56</v>
      </c>
      <c r="J84" s="47">
        <v>35</v>
      </c>
      <c r="K84" s="47">
        <v>65</v>
      </c>
      <c r="L84" s="47">
        <v>29</v>
      </c>
    </row>
    <row r="85" spans="1:12" ht="14.5" x14ac:dyDescent="0.35">
      <c r="A85" s="46" t="s">
        <v>289</v>
      </c>
      <c r="B85" s="46" t="s">
        <v>347</v>
      </c>
      <c r="C85" s="46" t="s">
        <v>1092</v>
      </c>
      <c r="D85" s="47">
        <v>18</v>
      </c>
      <c r="E85" s="47">
        <v>22</v>
      </c>
      <c r="F85" s="47">
        <v>24</v>
      </c>
      <c r="G85" s="47">
        <v>41</v>
      </c>
      <c r="H85" s="47">
        <v>32</v>
      </c>
      <c r="I85" s="47">
        <v>50</v>
      </c>
      <c r="J85" s="47">
        <v>32</v>
      </c>
      <c r="K85" s="47">
        <v>34</v>
      </c>
      <c r="L85" s="47">
        <v>23</v>
      </c>
    </row>
    <row r="86" spans="1:12" ht="14.5" x14ac:dyDescent="0.35">
      <c r="A86" s="46" t="s">
        <v>289</v>
      </c>
      <c r="B86" s="60" t="s">
        <v>1275</v>
      </c>
      <c r="C86" s="46" t="s">
        <v>1092</v>
      </c>
      <c r="D86" s="47">
        <v>15</v>
      </c>
      <c r="E86" s="47">
        <v>15</v>
      </c>
      <c r="F86" s="47">
        <v>15</v>
      </c>
      <c r="G86" s="47">
        <v>44</v>
      </c>
      <c r="H86" s="47">
        <v>29</v>
      </c>
      <c r="I86" s="47">
        <v>35</v>
      </c>
      <c r="J86" s="47">
        <v>25</v>
      </c>
      <c r="K86" s="47">
        <v>37</v>
      </c>
      <c r="L86" s="47">
        <v>18</v>
      </c>
    </row>
    <row r="87" spans="1:12" ht="14.5" x14ac:dyDescent="0.35">
      <c r="A87" s="46" t="s">
        <v>289</v>
      </c>
      <c r="B87" s="46" t="s">
        <v>343</v>
      </c>
      <c r="C87" s="46" t="s">
        <v>1093</v>
      </c>
      <c r="D87" s="47">
        <v>1</v>
      </c>
      <c r="E87" s="47">
        <v>1</v>
      </c>
      <c r="F87" s="47">
        <v>1</v>
      </c>
      <c r="G87" s="47">
        <v>0</v>
      </c>
      <c r="H87" s="47">
        <v>1</v>
      </c>
      <c r="I87" s="47">
        <v>0</v>
      </c>
      <c r="J87" s="47">
        <v>1</v>
      </c>
      <c r="K87" s="47">
        <v>0</v>
      </c>
      <c r="L87" s="47">
        <v>1</v>
      </c>
    </row>
    <row r="88" spans="1:12" ht="14.5" x14ac:dyDescent="0.35">
      <c r="A88" s="46" t="s">
        <v>289</v>
      </c>
      <c r="B88" s="46" t="s">
        <v>344</v>
      </c>
      <c r="C88" s="46" t="s">
        <v>1093</v>
      </c>
      <c r="D88" s="47">
        <v>26</v>
      </c>
      <c r="E88" s="47">
        <v>27</v>
      </c>
      <c r="F88" s="47">
        <v>24</v>
      </c>
      <c r="G88" s="47">
        <v>25</v>
      </c>
      <c r="H88" s="47">
        <v>46</v>
      </c>
      <c r="I88" s="47">
        <v>41</v>
      </c>
      <c r="J88" s="47">
        <v>22</v>
      </c>
      <c r="K88" s="47">
        <v>41</v>
      </c>
      <c r="L88" s="47">
        <v>28</v>
      </c>
    </row>
    <row r="89" spans="1:12" ht="14.5" x14ac:dyDescent="0.35">
      <c r="A89" s="46" t="s">
        <v>289</v>
      </c>
      <c r="B89" s="46" t="s">
        <v>345</v>
      </c>
      <c r="C89" s="46" t="s">
        <v>1093</v>
      </c>
      <c r="D89" s="47">
        <v>101</v>
      </c>
      <c r="E89" s="47">
        <v>89</v>
      </c>
      <c r="F89" s="47">
        <v>80</v>
      </c>
      <c r="G89" s="47">
        <v>271</v>
      </c>
      <c r="H89" s="47">
        <v>184</v>
      </c>
      <c r="I89" s="47">
        <v>187</v>
      </c>
      <c r="J89" s="47">
        <v>104</v>
      </c>
      <c r="K89" s="47">
        <v>180</v>
      </c>
      <c r="L89" s="47">
        <v>124</v>
      </c>
    </row>
    <row r="90" spans="1:12" ht="14.5" x14ac:dyDescent="0.35">
      <c r="A90" s="46" t="s">
        <v>289</v>
      </c>
      <c r="B90" s="46" t="s">
        <v>346</v>
      </c>
      <c r="C90" s="46" t="s">
        <v>1093</v>
      </c>
      <c r="D90" s="47">
        <v>130</v>
      </c>
      <c r="E90" s="47">
        <v>121</v>
      </c>
      <c r="F90" s="47">
        <v>102</v>
      </c>
      <c r="G90" s="47">
        <v>242</v>
      </c>
      <c r="H90" s="47">
        <v>179</v>
      </c>
      <c r="I90" s="47">
        <v>214</v>
      </c>
      <c r="J90" s="47">
        <v>127</v>
      </c>
      <c r="K90" s="47">
        <v>206</v>
      </c>
      <c r="L90" s="47">
        <v>147</v>
      </c>
    </row>
    <row r="91" spans="1:12" ht="14.5" x14ac:dyDescent="0.35">
      <c r="A91" s="46" t="s">
        <v>289</v>
      </c>
      <c r="B91" s="46" t="s">
        <v>347</v>
      </c>
      <c r="C91" s="46" t="s">
        <v>1093</v>
      </c>
      <c r="D91" s="47">
        <v>120</v>
      </c>
      <c r="E91" s="47">
        <v>117</v>
      </c>
      <c r="F91" s="47">
        <v>105</v>
      </c>
      <c r="G91" s="47">
        <v>178</v>
      </c>
      <c r="H91" s="47">
        <v>161</v>
      </c>
      <c r="I91" s="47">
        <v>211</v>
      </c>
      <c r="J91" s="47">
        <v>128</v>
      </c>
      <c r="K91" s="47">
        <v>167</v>
      </c>
      <c r="L91" s="47">
        <v>128</v>
      </c>
    </row>
    <row r="92" spans="1:12" ht="15" thickBot="1" x14ac:dyDescent="0.4">
      <c r="A92" s="41" t="s">
        <v>289</v>
      </c>
      <c r="B92" s="54" t="s">
        <v>1275</v>
      </c>
      <c r="C92" s="41" t="s">
        <v>1093</v>
      </c>
      <c r="D92" s="42">
        <v>104</v>
      </c>
      <c r="E92" s="42">
        <v>91</v>
      </c>
      <c r="F92" s="42">
        <v>78</v>
      </c>
      <c r="G92" s="42">
        <v>229</v>
      </c>
      <c r="H92" s="42">
        <v>160</v>
      </c>
      <c r="I92" s="42">
        <v>179</v>
      </c>
      <c r="J92" s="42">
        <v>106</v>
      </c>
      <c r="K92" s="42">
        <v>176</v>
      </c>
      <c r="L92" s="42">
        <v>118</v>
      </c>
    </row>
    <row r="93" spans="1:12" ht="14.5" x14ac:dyDescent="0.35">
      <c r="A93" s="100" t="s">
        <v>526</v>
      </c>
      <c r="B93" s="99"/>
      <c r="C93" s="99"/>
      <c r="D93" s="99"/>
      <c r="E93" s="99"/>
      <c r="F93" s="99"/>
      <c r="G93" s="99"/>
      <c r="H93" s="99"/>
      <c r="I93" s="99"/>
      <c r="J93" s="99"/>
      <c r="K93" s="99"/>
      <c r="L93" s="99"/>
    </row>
    <row r="94" spans="1:12" ht="14.5" x14ac:dyDescent="0.35">
      <c r="A94" s="100" t="s">
        <v>1094</v>
      </c>
      <c r="B94" s="99"/>
      <c r="C94" s="99"/>
      <c r="D94" s="99"/>
      <c r="E94" s="99"/>
      <c r="F94" s="99"/>
      <c r="G94" s="99"/>
      <c r="H94" s="99"/>
      <c r="I94" s="99"/>
      <c r="J94" s="99"/>
      <c r="K94" s="99"/>
      <c r="L94" s="99"/>
    </row>
    <row r="95" spans="1:12" ht="14.5" x14ac:dyDescent="0.35">
      <c r="A95" s="44"/>
      <c r="B95" s="35"/>
      <c r="C95" s="35"/>
      <c r="D95" s="35"/>
      <c r="E95" s="35"/>
      <c r="F95" s="35"/>
      <c r="G95" s="35"/>
      <c r="H95" s="35"/>
      <c r="I95" s="35"/>
      <c r="J95" s="35"/>
      <c r="K95" s="35"/>
      <c r="L95" s="35"/>
    </row>
    <row r="96" spans="1:12" ht="14.5" x14ac:dyDescent="0.35">
      <c r="A96" s="35" t="s">
        <v>290</v>
      </c>
      <c r="B96" s="35"/>
      <c r="C96" s="35"/>
      <c r="D96" s="35"/>
      <c r="E96" s="35"/>
      <c r="F96" s="35"/>
      <c r="G96" s="35"/>
      <c r="H96" s="35"/>
      <c r="I96" s="35"/>
      <c r="J96" s="35"/>
      <c r="K96" s="35"/>
      <c r="L96" s="35"/>
    </row>
    <row r="97" spans="1:12" ht="14.5" x14ac:dyDescent="0.35">
      <c r="A97" s="45" t="s">
        <v>291</v>
      </c>
      <c r="B97" s="35"/>
      <c r="C97" s="35"/>
      <c r="D97" s="35"/>
      <c r="E97" s="35"/>
      <c r="F97" s="35"/>
      <c r="G97" s="35"/>
      <c r="H97" s="35"/>
      <c r="I97" s="35"/>
      <c r="J97" s="35"/>
      <c r="K97" s="35"/>
      <c r="L97" s="35"/>
    </row>
    <row r="98" spans="1:12" ht="14.5" x14ac:dyDescent="0.35">
      <c r="A98" s="35"/>
      <c r="B98" s="35"/>
      <c r="C98" s="35"/>
      <c r="D98" s="35"/>
      <c r="E98" s="35"/>
      <c r="F98" s="35"/>
      <c r="G98" s="35"/>
      <c r="H98" s="35"/>
      <c r="I98" s="35"/>
      <c r="J98" s="35"/>
      <c r="K98" s="35"/>
      <c r="L98" s="35"/>
    </row>
    <row r="99" spans="1:12" ht="14.5" x14ac:dyDescent="0.35">
      <c r="A99" s="45" t="s">
        <v>3</v>
      </c>
      <c r="B99" s="35"/>
      <c r="C99" s="35"/>
      <c r="D99" s="35"/>
      <c r="E99" s="35"/>
      <c r="F99" s="35"/>
      <c r="G99" s="35"/>
      <c r="H99" s="35"/>
      <c r="I99" s="35"/>
      <c r="J99" s="35"/>
      <c r="K99" s="35"/>
      <c r="L99" s="35"/>
    </row>
    <row r="100" spans="1:12" ht="14.5" x14ac:dyDescent="0.35">
      <c r="A100" s="35"/>
      <c r="B100" s="35"/>
      <c r="C100" s="35"/>
      <c r="D100" s="35"/>
      <c r="E100" s="35"/>
      <c r="F100" s="35"/>
      <c r="G100" s="35"/>
      <c r="H100" s="35"/>
      <c r="I100" s="35"/>
      <c r="J100" s="35"/>
      <c r="K100" s="35"/>
      <c r="L100" s="35"/>
    </row>
    <row r="101" spans="1:12" ht="14.5" x14ac:dyDescent="0.35">
      <c r="A101" s="45" t="s">
        <v>292</v>
      </c>
      <c r="B101" s="35"/>
      <c r="C101" s="35"/>
      <c r="D101" s="35"/>
      <c r="E101" s="35"/>
      <c r="F101" s="35"/>
      <c r="G101" s="35"/>
      <c r="H101" s="35"/>
      <c r="I101" s="35"/>
      <c r="J101" s="35"/>
      <c r="K101" s="35"/>
      <c r="L101" s="35"/>
    </row>
  </sheetData>
  <mergeCells count="3">
    <mergeCell ref="A94:L94"/>
    <mergeCell ref="A1:L1"/>
    <mergeCell ref="A93:L93"/>
  </mergeCells>
  <hyperlinks>
    <hyperlink ref="A97" r:id="rId1" xr:uid="{00000000-0004-0000-3200-000000000000}"/>
    <hyperlink ref="A99" location="'Technical specifications'!A1" display="Technical specifications" xr:uid="{00000000-0004-0000-3200-000001000000}"/>
    <hyperlink ref="A101" location="Contents!A1" display="Back to contents" xr:uid="{00000000-0004-0000-3200-000002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K42"/>
  <sheetViews>
    <sheetView workbookViewId="0">
      <selection sqref="A1:K1"/>
    </sheetView>
  </sheetViews>
  <sheetFormatPr defaultRowHeight="14.75" customHeight="1" x14ac:dyDescent="0.35"/>
  <cols>
    <col min="1" max="1" width="14" customWidth="1"/>
    <col min="2" max="2" width="15" customWidth="1"/>
    <col min="3" max="11" width="8.453125" customWidth="1"/>
  </cols>
  <sheetData>
    <row r="1" spans="1:11" ht="33.75" customHeight="1" x14ac:dyDescent="0.35">
      <c r="A1" s="96" t="s">
        <v>1095</v>
      </c>
      <c r="B1" s="97"/>
      <c r="C1" s="97"/>
      <c r="D1" s="97"/>
      <c r="E1" s="97"/>
      <c r="F1" s="97"/>
      <c r="G1" s="97"/>
      <c r="H1" s="97"/>
      <c r="I1" s="97"/>
      <c r="J1" s="97"/>
      <c r="K1" s="97"/>
    </row>
    <row r="2" spans="1:11" ht="14.5" x14ac:dyDescent="0.35">
      <c r="A2" s="74" t="s">
        <v>1313</v>
      </c>
      <c r="B2" s="36" t="s">
        <v>337</v>
      </c>
      <c r="C2" s="37" t="s">
        <v>295</v>
      </c>
      <c r="D2" s="37" t="s">
        <v>297</v>
      </c>
      <c r="E2" s="37" t="s">
        <v>298</v>
      </c>
      <c r="F2" s="37" t="s">
        <v>299</v>
      </c>
      <c r="G2" s="37" t="s">
        <v>300</v>
      </c>
      <c r="H2" s="37" t="s">
        <v>301</v>
      </c>
      <c r="I2" s="37" t="s">
        <v>302</v>
      </c>
      <c r="J2" s="37" t="s">
        <v>303</v>
      </c>
      <c r="K2" s="37" t="s">
        <v>304</v>
      </c>
    </row>
    <row r="3" spans="1:11" ht="14.5" x14ac:dyDescent="0.35">
      <c r="A3" s="38" t="s">
        <v>338</v>
      </c>
      <c r="B3" s="38" t="s">
        <v>343</v>
      </c>
      <c r="C3" s="39">
        <v>99.973500000000001</v>
      </c>
      <c r="D3" s="39">
        <v>100</v>
      </c>
      <c r="E3" s="39">
        <v>99.96</v>
      </c>
      <c r="F3" s="39">
        <v>99.841099999999997</v>
      </c>
      <c r="G3" s="39">
        <v>98.687600000000003</v>
      </c>
      <c r="H3" s="39" t="s">
        <v>166</v>
      </c>
      <c r="I3" s="39">
        <v>98.947400000000002</v>
      </c>
      <c r="J3" s="39" t="s">
        <v>166</v>
      </c>
      <c r="K3" s="39">
        <v>99.808899999999994</v>
      </c>
    </row>
    <row r="4" spans="1:11" ht="14.5" x14ac:dyDescent="0.35">
      <c r="A4" s="38" t="s">
        <v>338</v>
      </c>
      <c r="B4" s="38" t="s">
        <v>344</v>
      </c>
      <c r="C4" s="39">
        <v>75.394900000000007</v>
      </c>
      <c r="D4" s="39">
        <v>64.151700000000005</v>
      </c>
      <c r="E4" s="39">
        <v>70.808899999999994</v>
      </c>
      <c r="F4" s="39">
        <v>63.594299999999997</v>
      </c>
      <c r="G4" s="39">
        <v>45.491</v>
      </c>
      <c r="H4" s="39">
        <v>43.7376</v>
      </c>
      <c r="I4" s="39">
        <v>63.971499999999999</v>
      </c>
      <c r="J4" s="39">
        <v>51.344700000000003</v>
      </c>
      <c r="K4" s="39">
        <v>67.814300000000003</v>
      </c>
    </row>
    <row r="5" spans="1:11" ht="14.5" x14ac:dyDescent="0.35">
      <c r="A5" s="38" t="s">
        <v>338</v>
      </c>
      <c r="B5" s="38" t="s">
        <v>345</v>
      </c>
      <c r="C5" s="39">
        <v>66.149699999999996</v>
      </c>
      <c r="D5" s="39">
        <v>72.655000000000001</v>
      </c>
      <c r="E5" s="39">
        <v>68.309600000000003</v>
      </c>
      <c r="F5" s="39">
        <v>17.7315</v>
      </c>
      <c r="G5" s="39">
        <v>36.194600000000001</v>
      </c>
      <c r="H5" s="39">
        <v>36.186</v>
      </c>
      <c r="I5" s="39">
        <v>51.212699999999998</v>
      </c>
      <c r="J5" s="39">
        <v>34.773000000000003</v>
      </c>
      <c r="K5" s="39">
        <v>60.453400000000002</v>
      </c>
    </row>
    <row r="6" spans="1:11" ht="14.5" x14ac:dyDescent="0.35">
      <c r="A6" s="38" t="s">
        <v>338</v>
      </c>
      <c r="B6" s="38" t="s">
        <v>346</v>
      </c>
      <c r="C6" s="39">
        <v>72.456100000000006</v>
      </c>
      <c r="D6" s="39">
        <v>77.910399999999996</v>
      </c>
      <c r="E6" s="39">
        <v>78.947000000000003</v>
      </c>
      <c r="F6" s="39">
        <v>34.122900000000001</v>
      </c>
      <c r="G6" s="39">
        <v>55.621200000000002</v>
      </c>
      <c r="H6" s="39">
        <v>51.9251</v>
      </c>
      <c r="I6" s="39">
        <v>68.401300000000006</v>
      </c>
      <c r="J6" s="39">
        <v>48.514099999999999</v>
      </c>
      <c r="K6" s="39">
        <v>68.700699999999998</v>
      </c>
    </row>
    <row r="7" spans="1:11" ht="14.5" x14ac:dyDescent="0.35">
      <c r="A7" s="38" t="s">
        <v>338</v>
      </c>
      <c r="B7" s="38" t="s">
        <v>347</v>
      </c>
      <c r="C7" s="39">
        <v>87.649299999999997</v>
      </c>
      <c r="D7" s="39">
        <v>91.382199999999997</v>
      </c>
      <c r="E7" s="39">
        <v>92.944299999999998</v>
      </c>
      <c r="F7" s="39">
        <v>68.375399999999999</v>
      </c>
      <c r="G7" s="39">
        <v>81.103300000000004</v>
      </c>
      <c r="H7" s="39">
        <v>81.212100000000007</v>
      </c>
      <c r="I7" s="39">
        <v>88.664599999999993</v>
      </c>
      <c r="J7" s="39">
        <v>86.497900000000001</v>
      </c>
      <c r="K7" s="39">
        <v>87.552300000000002</v>
      </c>
    </row>
    <row r="8" spans="1:11" ht="14.5" x14ac:dyDescent="0.35">
      <c r="A8" s="38" t="s">
        <v>338</v>
      </c>
      <c r="B8" s="38" t="s">
        <v>304</v>
      </c>
      <c r="C8" s="39">
        <v>71.337900000000005</v>
      </c>
      <c r="D8" s="39">
        <v>73.6999</v>
      </c>
      <c r="E8" s="39">
        <v>72.647300000000001</v>
      </c>
      <c r="F8" s="39">
        <v>34.8416</v>
      </c>
      <c r="G8" s="39">
        <v>46.831600000000002</v>
      </c>
      <c r="H8" s="39">
        <v>46.289499999999997</v>
      </c>
      <c r="I8" s="39">
        <v>61.520899999999997</v>
      </c>
      <c r="J8" s="39">
        <v>48.081000000000003</v>
      </c>
      <c r="K8" s="39">
        <v>65.945599999999999</v>
      </c>
    </row>
    <row r="9" spans="1:11" ht="14.5" x14ac:dyDescent="0.35">
      <c r="A9" s="38" t="s">
        <v>339</v>
      </c>
      <c r="B9" s="38" t="s">
        <v>343</v>
      </c>
      <c r="C9" s="39">
        <v>99.910399999999996</v>
      </c>
      <c r="D9" s="39">
        <v>100</v>
      </c>
      <c r="E9" s="39">
        <v>99.913399999999996</v>
      </c>
      <c r="F9" s="39">
        <v>99.756100000000004</v>
      </c>
      <c r="G9" s="39">
        <v>99.862099999999998</v>
      </c>
      <c r="H9" s="39">
        <v>99.429900000000004</v>
      </c>
      <c r="I9" s="39" t="s">
        <v>166</v>
      </c>
      <c r="J9" s="39" t="s">
        <v>166</v>
      </c>
      <c r="K9" s="39">
        <v>99.894000000000005</v>
      </c>
    </row>
    <row r="10" spans="1:11" ht="14.5" x14ac:dyDescent="0.35">
      <c r="A10" s="38" t="s">
        <v>339</v>
      </c>
      <c r="B10" s="38" t="s">
        <v>344</v>
      </c>
      <c r="C10" s="39">
        <v>74.948700000000002</v>
      </c>
      <c r="D10" s="39">
        <v>63.218499999999999</v>
      </c>
      <c r="E10" s="39">
        <v>75.217500000000001</v>
      </c>
      <c r="F10" s="39">
        <v>72.134500000000003</v>
      </c>
      <c r="G10" s="39">
        <v>49.177700000000002</v>
      </c>
      <c r="H10" s="39">
        <v>40</v>
      </c>
      <c r="I10" s="39">
        <v>70.308800000000005</v>
      </c>
      <c r="J10" s="39">
        <v>43.877600000000001</v>
      </c>
      <c r="K10" s="39">
        <v>68.498699999999999</v>
      </c>
    </row>
    <row r="11" spans="1:11" ht="14.5" x14ac:dyDescent="0.35">
      <c r="A11" s="38" t="s">
        <v>339</v>
      </c>
      <c r="B11" s="38" t="s">
        <v>345</v>
      </c>
      <c r="C11" s="39">
        <v>69.246499999999997</v>
      </c>
      <c r="D11" s="39">
        <v>59.762</v>
      </c>
      <c r="E11" s="39">
        <v>61.770499999999998</v>
      </c>
      <c r="F11" s="39">
        <v>44.922800000000002</v>
      </c>
      <c r="G11" s="39">
        <v>48.215499999999999</v>
      </c>
      <c r="H11" s="39">
        <v>26.501799999999999</v>
      </c>
      <c r="I11" s="39">
        <v>51.758299999999998</v>
      </c>
      <c r="J11" s="39">
        <v>39.328499999999998</v>
      </c>
      <c r="K11" s="39">
        <v>60.716700000000003</v>
      </c>
    </row>
    <row r="12" spans="1:11" ht="14.5" x14ac:dyDescent="0.35">
      <c r="A12" s="38" t="s">
        <v>339</v>
      </c>
      <c r="B12" s="38" t="s">
        <v>346</v>
      </c>
      <c r="C12" s="39">
        <v>74.455200000000005</v>
      </c>
      <c r="D12" s="39">
        <v>71.217299999999994</v>
      </c>
      <c r="E12" s="39">
        <v>74.8322</v>
      </c>
      <c r="F12" s="39">
        <v>57.341200000000001</v>
      </c>
      <c r="G12" s="39">
        <v>64.477400000000003</v>
      </c>
      <c r="H12" s="39">
        <v>37.673499999999997</v>
      </c>
      <c r="I12" s="39">
        <v>69.5578</v>
      </c>
      <c r="J12" s="39">
        <v>43.415300000000002</v>
      </c>
      <c r="K12" s="39">
        <v>71.119100000000003</v>
      </c>
    </row>
    <row r="13" spans="1:11" ht="14.5" x14ac:dyDescent="0.35">
      <c r="A13" s="38" t="s">
        <v>339</v>
      </c>
      <c r="B13" s="38" t="s">
        <v>347</v>
      </c>
      <c r="C13" s="39">
        <v>90.578400000000002</v>
      </c>
      <c r="D13" s="39">
        <v>90.362899999999996</v>
      </c>
      <c r="E13" s="39">
        <v>92.4756</v>
      </c>
      <c r="F13" s="39">
        <v>83.664199999999994</v>
      </c>
      <c r="G13" s="39">
        <v>87.291499999999999</v>
      </c>
      <c r="H13" s="39">
        <v>66.705799999999996</v>
      </c>
      <c r="I13" s="39" t="s">
        <v>166</v>
      </c>
      <c r="J13" s="39">
        <v>86.792500000000004</v>
      </c>
      <c r="K13" s="39">
        <v>89.629900000000006</v>
      </c>
    </row>
    <row r="14" spans="1:11" ht="14.5" x14ac:dyDescent="0.35">
      <c r="A14" s="38" t="s">
        <v>339</v>
      </c>
      <c r="B14" s="38" t="s">
        <v>304</v>
      </c>
      <c r="C14" s="39">
        <v>74.378699999999995</v>
      </c>
      <c r="D14" s="39">
        <v>66.025000000000006</v>
      </c>
      <c r="E14" s="39">
        <v>69.542000000000002</v>
      </c>
      <c r="F14" s="39">
        <v>56.764600000000002</v>
      </c>
      <c r="G14" s="39">
        <v>55.984299999999998</v>
      </c>
      <c r="H14" s="39">
        <v>34.745199999999997</v>
      </c>
      <c r="I14" s="39">
        <v>62.059699999999999</v>
      </c>
      <c r="J14" s="39">
        <v>46.067399999999999</v>
      </c>
      <c r="K14" s="39">
        <v>67.869900000000001</v>
      </c>
    </row>
    <row r="15" spans="1:11" ht="14.5" x14ac:dyDescent="0.35">
      <c r="A15" s="38" t="s">
        <v>340</v>
      </c>
      <c r="B15" s="38" t="s">
        <v>343</v>
      </c>
      <c r="C15" s="39">
        <v>99.73</v>
      </c>
      <c r="D15" s="39">
        <v>100</v>
      </c>
      <c r="E15" s="39">
        <v>100</v>
      </c>
      <c r="F15" s="39">
        <v>99.671800000000005</v>
      </c>
      <c r="G15" s="39">
        <v>99.698800000000006</v>
      </c>
      <c r="H15" s="39">
        <v>99.799599999999998</v>
      </c>
      <c r="I15" s="39" t="s">
        <v>166</v>
      </c>
      <c r="J15" s="39">
        <v>99.5565</v>
      </c>
      <c r="K15" s="39">
        <v>99.806399999999996</v>
      </c>
    </row>
    <row r="16" spans="1:11" ht="14.5" x14ac:dyDescent="0.35">
      <c r="A16" s="38" t="s">
        <v>340</v>
      </c>
      <c r="B16" s="38" t="s">
        <v>344</v>
      </c>
      <c r="C16" s="39">
        <v>80.084900000000005</v>
      </c>
      <c r="D16" s="39">
        <v>67.007599999999996</v>
      </c>
      <c r="E16" s="39">
        <v>80.949600000000004</v>
      </c>
      <c r="F16" s="39">
        <v>72.501499999999993</v>
      </c>
      <c r="G16" s="39">
        <v>78.3767</v>
      </c>
      <c r="H16" s="39">
        <v>59.061199999999999</v>
      </c>
      <c r="I16" s="39" t="s">
        <v>166</v>
      </c>
      <c r="J16" s="39">
        <v>42.014499999999998</v>
      </c>
      <c r="K16" s="39">
        <v>71.799899999999994</v>
      </c>
    </row>
    <row r="17" spans="1:11" ht="14.5" x14ac:dyDescent="0.35">
      <c r="A17" s="38" t="s">
        <v>340</v>
      </c>
      <c r="B17" s="38" t="s">
        <v>345</v>
      </c>
      <c r="C17" s="39">
        <v>77.751599999999996</v>
      </c>
      <c r="D17" s="39">
        <v>64.881699999999995</v>
      </c>
      <c r="E17" s="39">
        <v>71.357799999999997</v>
      </c>
      <c r="F17" s="39">
        <v>58.749099999999999</v>
      </c>
      <c r="G17" s="39">
        <v>69.681899999999999</v>
      </c>
      <c r="H17" s="39">
        <v>52.915700000000001</v>
      </c>
      <c r="I17" s="39">
        <v>43.624200000000002</v>
      </c>
      <c r="J17" s="39">
        <v>21.577000000000002</v>
      </c>
      <c r="K17" s="39">
        <v>65.276600000000002</v>
      </c>
    </row>
    <row r="18" spans="1:11" ht="14.5" x14ac:dyDescent="0.35">
      <c r="A18" s="38" t="s">
        <v>340</v>
      </c>
      <c r="B18" s="38" t="s">
        <v>346</v>
      </c>
      <c r="C18" s="39">
        <v>81.507400000000004</v>
      </c>
      <c r="D18" s="39">
        <v>72.454099999999997</v>
      </c>
      <c r="E18" s="39">
        <v>79.008799999999994</v>
      </c>
      <c r="F18" s="39">
        <v>67.223100000000002</v>
      </c>
      <c r="G18" s="39">
        <v>72.915999999999997</v>
      </c>
      <c r="H18" s="39">
        <v>64.913300000000007</v>
      </c>
      <c r="I18" s="39">
        <v>72.115399999999994</v>
      </c>
      <c r="J18" s="39">
        <v>32.275100000000002</v>
      </c>
      <c r="K18" s="39">
        <v>71.640699999999995</v>
      </c>
    </row>
    <row r="19" spans="1:11" ht="14.5" x14ac:dyDescent="0.35">
      <c r="A19" s="38" t="s">
        <v>340</v>
      </c>
      <c r="B19" s="38" t="s">
        <v>347</v>
      </c>
      <c r="C19" s="39">
        <v>94.355000000000004</v>
      </c>
      <c r="D19" s="39">
        <v>87.962999999999994</v>
      </c>
      <c r="E19" s="39">
        <v>92.297399999999996</v>
      </c>
      <c r="F19" s="39">
        <v>87.510999999999996</v>
      </c>
      <c r="G19" s="39">
        <v>90.812200000000004</v>
      </c>
      <c r="H19" s="39">
        <v>84.488399999999999</v>
      </c>
      <c r="I19" s="39" t="s">
        <v>166</v>
      </c>
      <c r="J19" s="39">
        <v>63.825699999999998</v>
      </c>
      <c r="K19" s="39">
        <v>90.961299999999994</v>
      </c>
    </row>
    <row r="20" spans="1:11" ht="14.5" x14ac:dyDescent="0.35">
      <c r="A20" s="38" t="s">
        <v>340</v>
      </c>
      <c r="B20" s="38" t="s">
        <v>304</v>
      </c>
      <c r="C20" s="39">
        <v>82.104399999999998</v>
      </c>
      <c r="D20" s="39">
        <v>69.932599999999994</v>
      </c>
      <c r="E20" s="39">
        <v>76.287499999999994</v>
      </c>
      <c r="F20" s="39">
        <v>66.259100000000004</v>
      </c>
      <c r="G20" s="39">
        <v>73.850099999999998</v>
      </c>
      <c r="H20" s="39">
        <v>59.828400000000002</v>
      </c>
      <c r="I20" s="39">
        <v>62.650599999999997</v>
      </c>
      <c r="J20" s="39">
        <v>32.645299999999999</v>
      </c>
      <c r="K20" s="39">
        <v>70.881100000000004</v>
      </c>
    </row>
    <row r="21" spans="1:11" ht="14.5" x14ac:dyDescent="0.35">
      <c r="A21" s="38" t="s">
        <v>341</v>
      </c>
      <c r="B21" s="38" t="s">
        <v>343</v>
      </c>
      <c r="C21" s="39">
        <v>100</v>
      </c>
      <c r="D21" s="39" t="s">
        <v>166</v>
      </c>
      <c r="E21" s="39">
        <v>100</v>
      </c>
      <c r="F21" s="39">
        <v>100</v>
      </c>
      <c r="G21" s="39">
        <v>99.280600000000007</v>
      </c>
      <c r="H21" s="39" t="s">
        <v>166</v>
      </c>
      <c r="I21" s="39" t="s">
        <v>1278</v>
      </c>
      <c r="J21" s="39">
        <v>96.645700000000005</v>
      </c>
      <c r="K21" s="39">
        <v>98.764499999999998</v>
      </c>
    </row>
    <row r="22" spans="1:11" ht="14.5" x14ac:dyDescent="0.35">
      <c r="A22" s="38" t="s">
        <v>341</v>
      </c>
      <c r="B22" s="38" t="s">
        <v>344</v>
      </c>
      <c r="C22" s="39">
        <v>81.961600000000004</v>
      </c>
      <c r="D22" s="39">
        <v>65.201499999999996</v>
      </c>
      <c r="E22" s="39">
        <v>83.945499999999996</v>
      </c>
      <c r="F22" s="39">
        <v>85.500299999999996</v>
      </c>
      <c r="G22" s="39">
        <v>68.716099999999997</v>
      </c>
      <c r="H22" s="39">
        <v>57.337899999999998</v>
      </c>
      <c r="I22" s="39" t="s">
        <v>166</v>
      </c>
      <c r="J22" s="39">
        <v>55.562600000000003</v>
      </c>
      <c r="K22" s="39">
        <v>73.407899999999998</v>
      </c>
    </row>
    <row r="23" spans="1:11" ht="14.5" x14ac:dyDescent="0.35">
      <c r="A23" s="38" t="s">
        <v>341</v>
      </c>
      <c r="B23" s="38" t="s">
        <v>345</v>
      </c>
      <c r="C23" s="39">
        <v>82.345399999999998</v>
      </c>
      <c r="D23" s="39">
        <v>65.077100000000002</v>
      </c>
      <c r="E23" s="39">
        <v>72.698999999999998</v>
      </c>
      <c r="F23" s="39">
        <v>68.117000000000004</v>
      </c>
      <c r="G23" s="39">
        <v>77.486900000000006</v>
      </c>
      <c r="H23" s="39">
        <v>49.648400000000002</v>
      </c>
      <c r="I23" s="39" t="s">
        <v>166</v>
      </c>
      <c r="J23" s="39">
        <v>52.619700000000002</v>
      </c>
      <c r="K23" s="39">
        <v>67.303899999999999</v>
      </c>
    </row>
    <row r="24" spans="1:11" ht="14.5" x14ac:dyDescent="0.35">
      <c r="A24" s="38" t="s">
        <v>341</v>
      </c>
      <c r="B24" s="38" t="s">
        <v>346</v>
      </c>
      <c r="C24" s="39">
        <v>90.070499999999996</v>
      </c>
      <c r="D24" s="39">
        <v>70.220600000000005</v>
      </c>
      <c r="E24" s="39">
        <v>75.314499999999995</v>
      </c>
      <c r="F24" s="39">
        <v>71.5488</v>
      </c>
      <c r="G24" s="39">
        <v>86.091499999999996</v>
      </c>
      <c r="H24" s="39">
        <v>54.914499999999997</v>
      </c>
      <c r="I24" s="39" t="s">
        <v>166</v>
      </c>
      <c r="J24" s="39">
        <v>54.877499999999998</v>
      </c>
      <c r="K24" s="39">
        <v>71.7624</v>
      </c>
    </row>
    <row r="25" spans="1:11" ht="14.5" x14ac:dyDescent="0.35">
      <c r="A25" s="38" t="s">
        <v>341</v>
      </c>
      <c r="B25" s="38" t="s">
        <v>347</v>
      </c>
      <c r="C25" s="39">
        <v>96.092500000000001</v>
      </c>
      <c r="D25" s="39">
        <v>85.2941</v>
      </c>
      <c r="E25" s="39">
        <v>95.377200000000002</v>
      </c>
      <c r="F25" s="39">
        <v>89.4375</v>
      </c>
      <c r="G25" s="39">
        <v>93.598600000000005</v>
      </c>
      <c r="H25" s="39" t="s">
        <v>166</v>
      </c>
      <c r="I25" s="39" t="s">
        <v>166</v>
      </c>
      <c r="J25" s="39">
        <v>83.901499999999999</v>
      </c>
      <c r="K25" s="39">
        <v>91.500900000000001</v>
      </c>
    </row>
    <row r="26" spans="1:11" ht="14.5" x14ac:dyDescent="0.35">
      <c r="A26" s="38" t="s">
        <v>341</v>
      </c>
      <c r="B26" s="38" t="s">
        <v>304</v>
      </c>
      <c r="C26" s="39">
        <v>87.821700000000007</v>
      </c>
      <c r="D26" s="39">
        <v>68.270399999999995</v>
      </c>
      <c r="E26" s="39">
        <v>77.662899999999993</v>
      </c>
      <c r="F26" s="39">
        <v>74.118799999999993</v>
      </c>
      <c r="G26" s="39">
        <v>81.749499999999998</v>
      </c>
      <c r="H26" s="39">
        <v>53.745100000000001</v>
      </c>
      <c r="I26" s="39" t="s">
        <v>166</v>
      </c>
      <c r="J26" s="39">
        <v>56.1203</v>
      </c>
      <c r="K26" s="39">
        <v>72.630099999999999</v>
      </c>
    </row>
    <row r="27" spans="1:11" ht="14.5" x14ac:dyDescent="0.35">
      <c r="A27" s="38" t="s">
        <v>342</v>
      </c>
      <c r="B27" s="38" t="s">
        <v>343</v>
      </c>
      <c r="C27" s="39" t="s">
        <v>166</v>
      </c>
      <c r="D27" s="39" t="s">
        <v>1278</v>
      </c>
      <c r="E27" s="39">
        <v>100</v>
      </c>
      <c r="F27" s="39">
        <v>100</v>
      </c>
      <c r="G27" s="39" t="s">
        <v>166</v>
      </c>
      <c r="H27" s="39" t="s">
        <v>166</v>
      </c>
      <c r="I27" s="39" t="s">
        <v>1278</v>
      </c>
      <c r="J27" s="39">
        <v>97.826099999999997</v>
      </c>
      <c r="K27" s="39">
        <v>98.844999999999999</v>
      </c>
    </row>
    <row r="28" spans="1:11" ht="14.5" x14ac:dyDescent="0.35">
      <c r="A28" s="38" t="s">
        <v>342</v>
      </c>
      <c r="B28" s="38" t="s">
        <v>344</v>
      </c>
      <c r="C28" s="39">
        <v>87.4876</v>
      </c>
      <c r="D28" s="39" t="s">
        <v>166</v>
      </c>
      <c r="E28" s="39">
        <v>81.193899999999999</v>
      </c>
      <c r="F28" s="39">
        <v>75.572699999999998</v>
      </c>
      <c r="G28" s="39">
        <v>57.819899999999997</v>
      </c>
      <c r="H28" s="39" t="s">
        <v>166</v>
      </c>
      <c r="I28" s="39" t="s">
        <v>1278</v>
      </c>
      <c r="J28" s="39">
        <v>55.525199999999998</v>
      </c>
      <c r="K28" s="39">
        <v>67.074600000000004</v>
      </c>
    </row>
    <row r="29" spans="1:11" ht="14.5" x14ac:dyDescent="0.35">
      <c r="A29" s="38" t="s">
        <v>342</v>
      </c>
      <c r="B29" s="38" t="s">
        <v>345</v>
      </c>
      <c r="C29" s="39">
        <v>89.4422</v>
      </c>
      <c r="D29" s="39">
        <v>64.545500000000004</v>
      </c>
      <c r="E29" s="39">
        <v>75.022599999999997</v>
      </c>
      <c r="F29" s="39">
        <v>70.417299999999997</v>
      </c>
      <c r="G29" s="39">
        <v>60.706600000000002</v>
      </c>
      <c r="H29" s="39">
        <v>48.4848</v>
      </c>
      <c r="I29" s="39" t="s">
        <v>1278</v>
      </c>
      <c r="J29" s="39">
        <v>56.188800000000001</v>
      </c>
      <c r="K29" s="39">
        <v>66.406499999999994</v>
      </c>
    </row>
    <row r="30" spans="1:11" ht="14.5" x14ac:dyDescent="0.35">
      <c r="A30" s="38" t="s">
        <v>342</v>
      </c>
      <c r="B30" s="38" t="s">
        <v>346</v>
      </c>
      <c r="C30" s="39">
        <v>93.400999999999996</v>
      </c>
      <c r="D30" s="39" t="s">
        <v>166</v>
      </c>
      <c r="E30" s="39">
        <v>76.703100000000006</v>
      </c>
      <c r="F30" s="39">
        <v>80.181399999999996</v>
      </c>
      <c r="G30" s="39">
        <v>73.106999999999999</v>
      </c>
      <c r="H30" s="39" t="s">
        <v>166</v>
      </c>
      <c r="I30" s="39" t="s">
        <v>1278</v>
      </c>
      <c r="J30" s="39">
        <v>65.067800000000005</v>
      </c>
      <c r="K30" s="39">
        <v>74.347499999999997</v>
      </c>
    </row>
    <row r="31" spans="1:11" ht="14.5" x14ac:dyDescent="0.35">
      <c r="A31" s="38" t="s">
        <v>342</v>
      </c>
      <c r="B31" s="38" t="s">
        <v>347</v>
      </c>
      <c r="C31" s="39">
        <v>95.977000000000004</v>
      </c>
      <c r="D31" s="39" t="s">
        <v>166</v>
      </c>
      <c r="E31" s="39">
        <v>94.465900000000005</v>
      </c>
      <c r="F31" s="39">
        <v>94.570599999999999</v>
      </c>
      <c r="G31" s="39">
        <v>88.435400000000001</v>
      </c>
      <c r="H31" s="39" t="s">
        <v>166</v>
      </c>
      <c r="I31" s="39" t="s">
        <v>1278</v>
      </c>
      <c r="J31" s="39">
        <v>90.408100000000005</v>
      </c>
      <c r="K31" s="39">
        <v>93.027900000000002</v>
      </c>
    </row>
    <row r="32" spans="1:11" ht="14.5" x14ac:dyDescent="0.35">
      <c r="A32" s="49" t="s">
        <v>342</v>
      </c>
      <c r="B32" s="49" t="s">
        <v>304</v>
      </c>
      <c r="C32" s="50">
        <v>91.4298</v>
      </c>
      <c r="D32" s="50">
        <v>66.806700000000006</v>
      </c>
      <c r="E32" s="50">
        <v>78.461100000000002</v>
      </c>
      <c r="F32" s="50">
        <v>78.806299999999993</v>
      </c>
      <c r="G32" s="50">
        <v>66.981499999999997</v>
      </c>
      <c r="H32" s="50">
        <v>52.7273</v>
      </c>
      <c r="I32" s="50" t="s">
        <v>1278</v>
      </c>
      <c r="J32" s="50">
        <v>63.435899999999997</v>
      </c>
      <c r="K32" s="50">
        <v>72.947900000000004</v>
      </c>
    </row>
    <row r="33" spans="1:11" ht="14.5" x14ac:dyDescent="0.35">
      <c r="A33" s="100" t="s">
        <v>491</v>
      </c>
      <c r="B33" s="99"/>
      <c r="C33" s="99"/>
      <c r="D33" s="99"/>
      <c r="E33" s="99"/>
      <c r="F33" s="99"/>
      <c r="G33" s="99"/>
      <c r="H33" s="99"/>
      <c r="I33" s="99"/>
      <c r="J33" s="99"/>
      <c r="K33" s="99"/>
    </row>
    <row r="34" spans="1:11" ht="30.5" customHeight="1" x14ac:dyDescent="0.35">
      <c r="A34" s="100" t="s">
        <v>1096</v>
      </c>
      <c r="B34" s="99"/>
      <c r="C34" s="99"/>
      <c r="D34" s="99"/>
      <c r="E34" s="99"/>
      <c r="F34" s="99"/>
      <c r="G34" s="99"/>
      <c r="H34" s="99"/>
      <c r="I34" s="99"/>
      <c r="J34" s="99"/>
      <c r="K34" s="99"/>
    </row>
    <row r="35" spans="1:11" ht="14.5" x14ac:dyDescent="0.35">
      <c r="A35" s="100" t="s">
        <v>1097</v>
      </c>
      <c r="B35" s="99"/>
      <c r="C35" s="99"/>
      <c r="D35" s="99"/>
      <c r="E35" s="99"/>
      <c r="F35" s="99"/>
      <c r="G35" s="99"/>
      <c r="H35" s="99"/>
      <c r="I35" s="99"/>
      <c r="J35" s="99"/>
      <c r="K35" s="99"/>
    </row>
    <row r="36" spans="1:11" ht="14.5" x14ac:dyDescent="0.35">
      <c r="A36" s="44"/>
      <c r="B36" s="35"/>
      <c r="C36" s="35"/>
      <c r="D36" s="35"/>
      <c r="E36" s="35"/>
      <c r="F36" s="35"/>
      <c r="G36" s="35"/>
      <c r="H36" s="35"/>
      <c r="I36" s="35"/>
      <c r="J36" s="35"/>
      <c r="K36" s="35"/>
    </row>
    <row r="37" spans="1:11" ht="14.5" x14ac:dyDescent="0.35">
      <c r="A37" s="35" t="s">
        <v>290</v>
      </c>
      <c r="B37" s="35"/>
      <c r="C37" s="35"/>
      <c r="D37" s="35"/>
      <c r="E37" s="35"/>
      <c r="F37" s="35"/>
      <c r="G37" s="35"/>
      <c r="H37" s="35"/>
      <c r="I37" s="35"/>
      <c r="J37" s="35"/>
      <c r="K37" s="35"/>
    </row>
    <row r="38" spans="1:11" ht="14.5" x14ac:dyDescent="0.35">
      <c r="A38" s="45" t="s">
        <v>291</v>
      </c>
      <c r="B38" s="35"/>
      <c r="C38" s="35"/>
      <c r="D38" s="35"/>
      <c r="E38" s="35"/>
      <c r="F38" s="35"/>
      <c r="G38" s="35"/>
      <c r="H38" s="35"/>
      <c r="I38" s="35"/>
      <c r="J38" s="35"/>
      <c r="K38" s="35"/>
    </row>
    <row r="39" spans="1:11" ht="14.5" x14ac:dyDescent="0.35">
      <c r="A39" s="35"/>
      <c r="B39" s="35"/>
      <c r="C39" s="35"/>
      <c r="D39" s="35"/>
      <c r="E39" s="35"/>
      <c r="F39" s="35"/>
      <c r="G39" s="35"/>
      <c r="H39" s="35"/>
      <c r="I39" s="35"/>
      <c r="J39" s="35"/>
      <c r="K39" s="35"/>
    </row>
    <row r="40" spans="1:11" ht="14.5" x14ac:dyDescent="0.35">
      <c r="A40" s="45" t="s">
        <v>3</v>
      </c>
      <c r="B40" s="35"/>
      <c r="C40" s="35"/>
      <c r="D40" s="35"/>
      <c r="E40" s="35"/>
      <c r="F40" s="35"/>
      <c r="G40" s="35"/>
      <c r="H40" s="35"/>
      <c r="I40" s="35"/>
      <c r="J40" s="35"/>
      <c r="K40" s="35"/>
    </row>
    <row r="41" spans="1:11" ht="14.5" x14ac:dyDescent="0.35">
      <c r="A41" s="35"/>
      <c r="B41" s="35"/>
      <c r="C41" s="35"/>
      <c r="D41" s="35"/>
      <c r="E41" s="35"/>
      <c r="F41" s="35"/>
      <c r="G41" s="35"/>
      <c r="H41" s="35"/>
      <c r="I41" s="35"/>
      <c r="J41" s="35"/>
      <c r="K41" s="35"/>
    </row>
    <row r="42" spans="1:11" ht="14.5" x14ac:dyDescent="0.35">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3300-000000000000}"/>
    <hyperlink ref="A40" location="'Technical specifications'!A1" display="Technical specifications" xr:uid="{00000000-0004-0000-3300-000001000000}"/>
    <hyperlink ref="A42" location="Contents!A1" display="Back to contents" xr:uid="{00000000-0004-0000-3300-000002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K41"/>
  <sheetViews>
    <sheetView workbookViewId="0">
      <selection sqref="A1:K1"/>
    </sheetView>
  </sheetViews>
  <sheetFormatPr defaultRowHeight="14.75" customHeight="1" x14ac:dyDescent="0.35"/>
  <cols>
    <col min="1" max="1" width="32" customWidth="1"/>
    <col min="2" max="2" width="15" customWidth="1"/>
    <col min="3" max="11" width="8.453125" customWidth="1"/>
  </cols>
  <sheetData>
    <row r="1" spans="1:11" ht="33.75" customHeight="1" x14ac:dyDescent="0.35">
      <c r="A1" s="96" t="s">
        <v>1098</v>
      </c>
      <c r="B1" s="97"/>
      <c r="C1" s="97"/>
      <c r="D1" s="97"/>
      <c r="E1" s="97"/>
      <c r="F1" s="97"/>
      <c r="G1" s="97"/>
      <c r="H1" s="97"/>
      <c r="I1" s="97"/>
      <c r="J1" s="97"/>
      <c r="K1" s="97"/>
    </row>
    <row r="2" spans="1:11" ht="14.5" x14ac:dyDescent="0.35">
      <c r="A2" s="36" t="s">
        <v>1099</v>
      </c>
      <c r="B2" s="36" t="s">
        <v>337</v>
      </c>
      <c r="C2" s="37" t="s">
        <v>295</v>
      </c>
      <c r="D2" s="37" t="s">
        <v>297</v>
      </c>
      <c r="E2" s="37" t="s">
        <v>298</v>
      </c>
      <c r="F2" s="37" t="s">
        <v>299</v>
      </c>
      <c r="G2" s="37" t="s">
        <v>300</v>
      </c>
      <c r="H2" s="37" t="s">
        <v>301</v>
      </c>
      <c r="I2" s="37" t="s">
        <v>302</v>
      </c>
      <c r="J2" s="37" t="s">
        <v>303</v>
      </c>
      <c r="K2" s="37" t="s">
        <v>304</v>
      </c>
    </row>
    <row r="3" spans="1:11" ht="14.5" x14ac:dyDescent="0.35">
      <c r="A3" s="38" t="s">
        <v>351</v>
      </c>
      <c r="B3" s="38" t="s">
        <v>343</v>
      </c>
      <c r="C3" s="39">
        <v>99.967699999999994</v>
      </c>
      <c r="D3" s="39">
        <v>100</v>
      </c>
      <c r="E3" s="39">
        <v>99.940700000000007</v>
      </c>
      <c r="F3" s="39">
        <v>99.708299999999994</v>
      </c>
      <c r="G3" s="39">
        <v>99.454999999999998</v>
      </c>
      <c r="H3" s="39">
        <v>99.8626</v>
      </c>
      <c r="I3" s="39" t="s">
        <v>166</v>
      </c>
      <c r="J3" s="39">
        <v>98.837199999999996</v>
      </c>
      <c r="K3" s="39">
        <v>99.833200000000005</v>
      </c>
    </row>
    <row r="4" spans="1:11" ht="14.5" x14ac:dyDescent="0.35">
      <c r="A4" s="38" t="s">
        <v>351</v>
      </c>
      <c r="B4" s="38" t="s">
        <v>344</v>
      </c>
      <c r="C4" s="39">
        <v>74.7273</v>
      </c>
      <c r="D4" s="39">
        <v>60.395400000000002</v>
      </c>
      <c r="E4" s="39">
        <v>70.797499999999999</v>
      </c>
      <c r="F4" s="39">
        <v>69.113600000000005</v>
      </c>
      <c r="G4" s="39">
        <v>56.006300000000003</v>
      </c>
      <c r="H4" s="39">
        <v>49.511200000000002</v>
      </c>
      <c r="I4" s="39" t="s">
        <v>166</v>
      </c>
      <c r="J4" s="39">
        <v>51.473500000000001</v>
      </c>
      <c r="K4" s="39">
        <v>67.399299999999997</v>
      </c>
    </row>
    <row r="5" spans="1:11" ht="14.5" x14ac:dyDescent="0.35">
      <c r="A5" s="38" t="s">
        <v>351</v>
      </c>
      <c r="B5" s="38" t="s">
        <v>345</v>
      </c>
      <c r="C5" s="39">
        <v>67.833699999999993</v>
      </c>
      <c r="D5" s="39">
        <v>65.573599999999999</v>
      </c>
      <c r="E5" s="39">
        <v>63.733499999999999</v>
      </c>
      <c r="F5" s="39">
        <v>35.0105</v>
      </c>
      <c r="G5" s="39">
        <v>50.695799999999998</v>
      </c>
      <c r="H5" s="39">
        <v>41.180599999999998</v>
      </c>
      <c r="I5" s="39">
        <v>52.1008</v>
      </c>
      <c r="J5" s="39">
        <v>47.563800000000001</v>
      </c>
      <c r="K5" s="39">
        <v>60.594200000000001</v>
      </c>
    </row>
    <row r="6" spans="1:11" ht="14.5" x14ac:dyDescent="0.35">
      <c r="A6" s="38" t="s">
        <v>351</v>
      </c>
      <c r="B6" s="38" t="s">
        <v>346</v>
      </c>
      <c r="C6" s="39">
        <v>74.123099999999994</v>
      </c>
      <c r="D6" s="39">
        <v>73.111500000000007</v>
      </c>
      <c r="E6" s="39">
        <v>74.3459</v>
      </c>
      <c r="F6" s="39">
        <v>52.5871</v>
      </c>
      <c r="G6" s="39">
        <v>63.529699999999998</v>
      </c>
      <c r="H6" s="39">
        <v>55.623800000000003</v>
      </c>
      <c r="I6" s="39">
        <v>70</v>
      </c>
      <c r="J6" s="39">
        <v>54.776600000000002</v>
      </c>
      <c r="K6" s="39">
        <v>69.095100000000002</v>
      </c>
    </row>
    <row r="7" spans="1:11" ht="14.5" x14ac:dyDescent="0.35">
      <c r="A7" s="38" t="s">
        <v>351</v>
      </c>
      <c r="B7" s="38" t="s">
        <v>347</v>
      </c>
      <c r="C7" s="39">
        <v>90.398399999999995</v>
      </c>
      <c r="D7" s="39">
        <v>89.307299999999998</v>
      </c>
      <c r="E7" s="39">
        <v>91.736699999999999</v>
      </c>
      <c r="F7" s="39">
        <v>85.659300000000002</v>
      </c>
      <c r="G7" s="39">
        <v>85.19</v>
      </c>
      <c r="H7" s="39">
        <v>75.520700000000005</v>
      </c>
      <c r="I7" s="39" t="s">
        <v>166</v>
      </c>
      <c r="J7" s="39">
        <v>83.8536</v>
      </c>
      <c r="K7" s="39">
        <v>88.786900000000003</v>
      </c>
    </row>
    <row r="8" spans="1:11" ht="14.5" x14ac:dyDescent="0.35">
      <c r="A8" s="38" t="s">
        <v>351</v>
      </c>
      <c r="B8" s="38" t="s">
        <v>304</v>
      </c>
      <c r="C8" s="39">
        <v>73.215500000000006</v>
      </c>
      <c r="D8" s="39">
        <v>68.111599999999996</v>
      </c>
      <c r="E8" s="39">
        <v>69.116500000000002</v>
      </c>
      <c r="F8" s="39">
        <v>51.247</v>
      </c>
      <c r="G8" s="39">
        <v>58.851799999999997</v>
      </c>
      <c r="H8" s="39">
        <v>49.203000000000003</v>
      </c>
      <c r="I8" s="39">
        <v>63.4343</v>
      </c>
      <c r="J8" s="39">
        <v>54.015700000000002</v>
      </c>
      <c r="K8" s="39">
        <v>66.538499999999999</v>
      </c>
    </row>
    <row r="9" spans="1:11" ht="14.5" x14ac:dyDescent="0.35">
      <c r="A9" s="38" t="s">
        <v>352</v>
      </c>
      <c r="B9" s="38" t="s">
        <v>343</v>
      </c>
      <c r="C9" s="39">
        <v>99.872299999999996</v>
      </c>
      <c r="D9" s="39">
        <v>100</v>
      </c>
      <c r="E9" s="39">
        <v>99.949200000000005</v>
      </c>
      <c r="F9" s="39">
        <v>99.733000000000004</v>
      </c>
      <c r="G9" s="39">
        <v>98.762200000000007</v>
      </c>
      <c r="H9" s="39">
        <v>100</v>
      </c>
      <c r="I9" s="39" t="s">
        <v>166</v>
      </c>
      <c r="J9" s="39">
        <v>96.837900000000005</v>
      </c>
      <c r="K9" s="39">
        <v>99.674899999999994</v>
      </c>
    </row>
    <row r="10" spans="1:11" ht="14.5" x14ac:dyDescent="0.35">
      <c r="A10" s="38" t="s">
        <v>352</v>
      </c>
      <c r="B10" s="38" t="s">
        <v>344</v>
      </c>
      <c r="C10" s="39">
        <v>75.043499999999995</v>
      </c>
      <c r="D10" s="39">
        <v>63.878</v>
      </c>
      <c r="E10" s="39">
        <v>73.860699999999994</v>
      </c>
      <c r="F10" s="39">
        <v>66.275800000000004</v>
      </c>
      <c r="G10" s="39">
        <v>47.083100000000002</v>
      </c>
      <c r="H10" s="39">
        <v>46.599400000000003</v>
      </c>
      <c r="I10" s="39">
        <v>72.303899999999999</v>
      </c>
      <c r="J10" s="39">
        <v>49.994500000000002</v>
      </c>
      <c r="K10" s="39">
        <v>67.915800000000004</v>
      </c>
    </row>
    <row r="11" spans="1:11" ht="14.5" x14ac:dyDescent="0.35">
      <c r="A11" s="38" t="s">
        <v>352</v>
      </c>
      <c r="B11" s="38" t="s">
        <v>345</v>
      </c>
      <c r="C11" s="39">
        <v>67.008700000000005</v>
      </c>
      <c r="D11" s="39">
        <v>67.979399999999998</v>
      </c>
      <c r="E11" s="39">
        <v>68.521000000000001</v>
      </c>
      <c r="F11" s="39">
        <v>31.8154</v>
      </c>
      <c r="G11" s="39">
        <v>42.416600000000003</v>
      </c>
      <c r="H11" s="39">
        <v>36.333599999999997</v>
      </c>
      <c r="I11" s="39">
        <v>55.230899999999998</v>
      </c>
      <c r="J11" s="39">
        <v>43.161099999999998</v>
      </c>
      <c r="K11" s="39">
        <v>61.047800000000002</v>
      </c>
    </row>
    <row r="12" spans="1:11" ht="14.5" x14ac:dyDescent="0.35">
      <c r="A12" s="38" t="s">
        <v>352</v>
      </c>
      <c r="B12" s="38" t="s">
        <v>346</v>
      </c>
      <c r="C12" s="39">
        <v>73.189800000000005</v>
      </c>
      <c r="D12" s="39">
        <v>75.456100000000006</v>
      </c>
      <c r="E12" s="39">
        <v>78.676199999999994</v>
      </c>
      <c r="F12" s="39">
        <v>49.975900000000003</v>
      </c>
      <c r="G12" s="39">
        <v>61.237900000000003</v>
      </c>
      <c r="H12" s="39">
        <v>51.495899999999999</v>
      </c>
      <c r="I12" s="39">
        <v>70</v>
      </c>
      <c r="J12" s="39">
        <v>48.841799999999999</v>
      </c>
      <c r="K12" s="39">
        <v>69.9589</v>
      </c>
    </row>
    <row r="13" spans="1:11" ht="14.5" x14ac:dyDescent="0.35">
      <c r="A13" s="38" t="s">
        <v>352</v>
      </c>
      <c r="B13" s="38" t="s">
        <v>347</v>
      </c>
      <c r="C13" s="39">
        <v>90.1464</v>
      </c>
      <c r="D13" s="39">
        <v>90.269400000000005</v>
      </c>
      <c r="E13" s="39">
        <v>93.2821</v>
      </c>
      <c r="F13" s="39">
        <v>82.030799999999999</v>
      </c>
      <c r="G13" s="39">
        <v>84.639300000000006</v>
      </c>
      <c r="H13" s="39">
        <v>74.031899999999993</v>
      </c>
      <c r="I13" s="39">
        <v>92.592600000000004</v>
      </c>
      <c r="J13" s="39">
        <v>80.017099999999999</v>
      </c>
      <c r="K13" s="39">
        <v>89.249499999999998</v>
      </c>
    </row>
    <row r="14" spans="1:11" ht="14.5" x14ac:dyDescent="0.35">
      <c r="A14" s="38" t="s">
        <v>352</v>
      </c>
      <c r="B14" s="38" t="s">
        <v>304</v>
      </c>
      <c r="C14" s="39">
        <v>72.812299999999993</v>
      </c>
      <c r="D14" s="39">
        <v>71.223699999999994</v>
      </c>
      <c r="E14" s="39">
        <v>73.605599999999995</v>
      </c>
      <c r="F14" s="39">
        <v>47.535400000000003</v>
      </c>
      <c r="G14" s="39">
        <v>52.183599999999998</v>
      </c>
      <c r="H14" s="39">
        <v>44.968200000000003</v>
      </c>
      <c r="I14" s="39">
        <v>65.381399999999999</v>
      </c>
      <c r="J14" s="39">
        <v>49.135399999999997</v>
      </c>
      <c r="K14" s="39">
        <v>67.384399999999999</v>
      </c>
    </row>
    <row r="15" spans="1:11" ht="14.5" x14ac:dyDescent="0.35">
      <c r="A15" s="38" t="s">
        <v>353</v>
      </c>
      <c r="B15" s="38" t="s">
        <v>343</v>
      </c>
      <c r="C15" s="39">
        <v>99.955399999999997</v>
      </c>
      <c r="D15" s="39">
        <v>100</v>
      </c>
      <c r="E15" s="39">
        <v>99.975300000000004</v>
      </c>
      <c r="F15" s="39">
        <v>99.914199999999994</v>
      </c>
      <c r="G15" s="39">
        <v>99.338899999999995</v>
      </c>
      <c r="H15" s="39">
        <v>98.753900000000002</v>
      </c>
      <c r="I15" s="39" t="s">
        <v>166</v>
      </c>
      <c r="J15" s="39" t="s">
        <v>166</v>
      </c>
      <c r="K15" s="39">
        <v>99.861900000000006</v>
      </c>
    </row>
    <row r="16" spans="1:11" ht="14.5" x14ac:dyDescent="0.35">
      <c r="A16" s="38" t="s">
        <v>353</v>
      </c>
      <c r="B16" s="38" t="s">
        <v>344</v>
      </c>
      <c r="C16" s="39">
        <v>75.937899999999999</v>
      </c>
      <c r="D16" s="39">
        <v>64.9054</v>
      </c>
      <c r="E16" s="39">
        <v>75.549099999999996</v>
      </c>
      <c r="F16" s="39">
        <v>67.774699999999996</v>
      </c>
      <c r="G16" s="39">
        <v>49.393999999999998</v>
      </c>
      <c r="H16" s="39">
        <v>44.928100000000001</v>
      </c>
      <c r="I16" s="39">
        <v>64.549099999999996</v>
      </c>
      <c r="J16" s="39">
        <v>46.673099999999998</v>
      </c>
      <c r="K16" s="39">
        <v>69.5642</v>
      </c>
    </row>
    <row r="17" spans="1:11" ht="14.5" x14ac:dyDescent="0.35">
      <c r="A17" s="38" t="s">
        <v>353</v>
      </c>
      <c r="B17" s="38" t="s">
        <v>345</v>
      </c>
      <c r="C17" s="39">
        <v>69.365600000000001</v>
      </c>
      <c r="D17" s="39">
        <v>68.057400000000001</v>
      </c>
      <c r="E17" s="39">
        <v>69.537800000000004</v>
      </c>
      <c r="F17" s="39">
        <v>32.023699999999998</v>
      </c>
      <c r="G17" s="39">
        <v>39.896999999999998</v>
      </c>
      <c r="H17" s="39">
        <v>36.152700000000003</v>
      </c>
      <c r="I17" s="39">
        <v>51.639499999999998</v>
      </c>
      <c r="J17" s="39">
        <v>33.3874</v>
      </c>
      <c r="K17" s="39">
        <v>61.626300000000001</v>
      </c>
    </row>
    <row r="18" spans="1:11" ht="14.5" x14ac:dyDescent="0.35">
      <c r="A18" s="38" t="s">
        <v>353</v>
      </c>
      <c r="B18" s="38" t="s">
        <v>346</v>
      </c>
      <c r="C18" s="39">
        <v>75.151600000000002</v>
      </c>
      <c r="D18" s="39">
        <v>75.569100000000006</v>
      </c>
      <c r="E18" s="39">
        <v>78.808800000000005</v>
      </c>
      <c r="F18" s="39">
        <v>47.914299999999997</v>
      </c>
      <c r="G18" s="39">
        <v>59.383000000000003</v>
      </c>
      <c r="H18" s="39">
        <v>50.942399999999999</v>
      </c>
      <c r="I18" s="39">
        <v>68.911299999999997</v>
      </c>
      <c r="J18" s="39">
        <v>41.3551</v>
      </c>
      <c r="K18" s="39">
        <v>70.034000000000006</v>
      </c>
    </row>
    <row r="19" spans="1:11" ht="14.5" x14ac:dyDescent="0.35">
      <c r="A19" s="38" t="s">
        <v>353</v>
      </c>
      <c r="B19" s="38" t="s">
        <v>347</v>
      </c>
      <c r="C19" s="39">
        <v>90.327699999999993</v>
      </c>
      <c r="D19" s="39">
        <v>90.889899999999997</v>
      </c>
      <c r="E19" s="39">
        <v>92.686700000000002</v>
      </c>
      <c r="F19" s="39">
        <v>80.328000000000003</v>
      </c>
      <c r="G19" s="39">
        <v>83.468699999999998</v>
      </c>
      <c r="H19" s="39">
        <v>73.328500000000005</v>
      </c>
      <c r="I19" s="39">
        <v>88.153300000000002</v>
      </c>
      <c r="J19" s="39">
        <v>72.251300000000001</v>
      </c>
      <c r="K19" s="39">
        <v>88.806799999999996</v>
      </c>
    </row>
    <row r="20" spans="1:11" ht="14.5" x14ac:dyDescent="0.35">
      <c r="A20" s="38" t="s">
        <v>353</v>
      </c>
      <c r="B20" s="38" t="s">
        <v>304</v>
      </c>
      <c r="C20" s="39">
        <v>74.233699999999999</v>
      </c>
      <c r="D20" s="39">
        <v>70.953199999999995</v>
      </c>
      <c r="E20" s="39">
        <v>74.2316</v>
      </c>
      <c r="F20" s="39">
        <v>47.009399999999999</v>
      </c>
      <c r="G20" s="39">
        <v>50.3934</v>
      </c>
      <c r="H20" s="39">
        <v>44.379300000000001</v>
      </c>
      <c r="I20" s="39">
        <v>61.308300000000003</v>
      </c>
      <c r="J20" s="39">
        <v>41.246899999999997</v>
      </c>
      <c r="K20" s="39">
        <v>67.491900000000001</v>
      </c>
    </row>
    <row r="21" spans="1:11" ht="14.5" x14ac:dyDescent="0.35">
      <c r="A21" s="38" t="s">
        <v>354</v>
      </c>
      <c r="B21" s="38" t="s">
        <v>343</v>
      </c>
      <c r="C21" s="39">
        <v>100</v>
      </c>
      <c r="D21" s="39">
        <v>100</v>
      </c>
      <c r="E21" s="39">
        <v>99.9482</v>
      </c>
      <c r="F21" s="39">
        <v>99.895499999999998</v>
      </c>
      <c r="G21" s="39">
        <v>97.643699999999995</v>
      </c>
      <c r="H21" s="39">
        <v>100</v>
      </c>
      <c r="I21" s="39">
        <v>99.009900000000002</v>
      </c>
      <c r="J21" s="39">
        <v>100</v>
      </c>
      <c r="K21" s="39">
        <v>99.778400000000005</v>
      </c>
    </row>
    <row r="22" spans="1:11" ht="14.5" x14ac:dyDescent="0.35">
      <c r="A22" s="38" t="s">
        <v>354</v>
      </c>
      <c r="B22" s="38" t="s">
        <v>344</v>
      </c>
      <c r="C22" s="39">
        <v>75.802499999999995</v>
      </c>
      <c r="D22" s="39">
        <v>64.261099999999999</v>
      </c>
      <c r="E22" s="39">
        <v>73.271799999999999</v>
      </c>
      <c r="F22" s="39">
        <v>63.433500000000002</v>
      </c>
      <c r="G22" s="39">
        <v>46.608800000000002</v>
      </c>
      <c r="H22" s="39">
        <v>41.228700000000003</v>
      </c>
      <c r="I22" s="39">
        <v>64.277299999999997</v>
      </c>
      <c r="J22" s="39">
        <v>45.283299999999997</v>
      </c>
      <c r="K22" s="39">
        <v>67.402299999999997</v>
      </c>
    </row>
    <row r="23" spans="1:11" ht="14.5" x14ac:dyDescent="0.35">
      <c r="A23" s="38" t="s">
        <v>354</v>
      </c>
      <c r="B23" s="38" t="s">
        <v>345</v>
      </c>
      <c r="C23" s="39">
        <v>67.823999999999998</v>
      </c>
      <c r="D23" s="39">
        <v>72.512</v>
      </c>
      <c r="E23" s="39">
        <v>69.987499999999997</v>
      </c>
      <c r="F23" s="39">
        <v>19.973299999999998</v>
      </c>
      <c r="G23" s="39">
        <v>38.065199999999997</v>
      </c>
      <c r="H23" s="39">
        <v>28.9087</v>
      </c>
      <c r="I23" s="39">
        <v>50.628</v>
      </c>
      <c r="J23" s="39">
        <v>25.6557</v>
      </c>
      <c r="K23" s="39">
        <v>61.119900000000001</v>
      </c>
    </row>
    <row r="24" spans="1:11" ht="14.5" x14ac:dyDescent="0.35">
      <c r="A24" s="38" t="s">
        <v>354</v>
      </c>
      <c r="B24" s="38" t="s">
        <v>346</v>
      </c>
      <c r="C24" s="39">
        <v>74.2654</v>
      </c>
      <c r="D24" s="39">
        <v>77.751099999999994</v>
      </c>
      <c r="E24" s="39">
        <v>80.391000000000005</v>
      </c>
      <c r="F24" s="39">
        <v>36.555500000000002</v>
      </c>
      <c r="G24" s="39">
        <v>58.969000000000001</v>
      </c>
      <c r="H24" s="39">
        <v>39.4437</v>
      </c>
      <c r="I24" s="39">
        <v>67.767899999999997</v>
      </c>
      <c r="J24" s="39">
        <v>34.110500000000002</v>
      </c>
      <c r="K24" s="39">
        <v>69.308599999999998</v>
      </c>
    </row>
    <row r="25" spans="1:11" ht="14.5" x14ac:dyDescent="0.35">
      <c r="A25" s="38" t="s">
        <v>354</v>
      </c>
      <c r="B25" s="38" t="s">
        <v>347</v>
      </c>
      <c r="C25" s="39">
        <v>89.504099999999994</v>
      </c>
      <c r="D25" s="39">
        <v>91.735299999999995</v>
      </c>
      <c r="E25" s="39">
        <v>93.805700000000002</v>
      </c>
      <c r="F25" s="39">
        <v>70.845200000000006</v>
      </c>
      <c r="G25" s="39">
        <v>83.648499999999999</v>
      </c>
      <c r="H25" s="39">
        <v>71.387299999999996</v>
      </c>
      <c r="I25" s="39">
        <v>88.287400000000005</v>
      </c>
      <c r="J25" s="39">
        <v>67.616799999999998</v>
      </c>
      <c r="K25" s="39">
        <v>88.346900000000005</v>
      </c>
    </row>
    <row r="26" spans="1:11" ht="14.5" x14ac:dyDescent="0.35">
      <c r="A26" s="38" t="s">
        <v>354</v>
      </c>
      <c r="B26" s="38" t="s">
        <v>304</v>
      </c>
      <c r="C26" s="39">
        <v>72.802300000000002</v>
      </c>
      <c r="D26" s="39">
        <v>73.6601</v>
      </c>
      <c r="E26" s="39">
        <v>74.455299999999994</v>
      </c>
      <c r="F26" s="39">
        <v>36.709299999999999</v>
      </c>
      <c r="G26" s="39">
        <v>48.5807</v>
      </c>
      <c r="H26" s="39">
        <v>36.816400000000002</v>
      </c>
      <c r="I26" s="39">
        <v>61.014000000000003</v>
      </c>
      <c r="J26" s="39">
        <v>35.5884</v>
      </c>
      <c r="K26" s="39">
        <v>66.368300000000005</v>
      </c>
    </row>
    <row r="27" spans="1:11" ht="14.5" x14ac:dyDescent="0.35">
      <c r="A27" s="38" t="s">
        <v>355</v>
      </c>
      <c r="B27" s="38" t="s">
        <v>343</v>
      </c>
      <c r="C27" s="39">
        <v>99.979399999999998</v>
      </c>
      <c r="D27" s="39">
        <v>100</v>
      </c>
      <c r="E27" s="39">
        <v>100</v>
      </c>
      <c r="F27" s="39">
        <v>99.927499999999995</v>
      </c>
      <c r="G27" s="39">
        <v>98.308300000000003</v>
      </c>
      <c r="H27" s="39" t="s">
        <v>166</v>
      </c>
      <c r="I27" s="39">
        <v>98.893000000000001</v>
      </c>
      <c r="J27" s="39">
        <v>96.491200000000006</v>
      </c>
      <c r="K27" s="39">
        <v>99.829099999999997</v>
      </c>
    </row>
    <row r="28" spans="1:11" ht="14.5" x14ac:dyDescent="0.35">
      <c r="A28" s="38" t="s">
        <v>355</v>
      </c>
      <c r="B28" s="38" t="s">
        <v>344</v>
      </c>
      <c r="C28" s="39">
        <v>77.241900000000001</v>
      </c>
      <c r="D28" s="39">
        <v>67.337000000000003</v>
      </c>
      <c r="E28" s="39">
        <v>70.876999999999995</v>
      </c>
      <c r="F28" s="39">
        <v>66.503100000000003</v>
      </c>
      <c r="G28" s="39">
        <v>48.502699999999997</v>
      </c>
      <c r="H28" s="39">
        <v>42.317700000000002</v>
      </c>
      <c r="I28" s="39">
        <v>63.529000000000003</v>
      </c>
      <c r="J28" s="39">
        <v>45.604599999999998</v>
      </c>
      <c r="K28" s="39">
        <v>70.474100000000007</v>
      </c>
    </row>
    <row r="29" spans="1:11" ht="14.5" x14ac:dyDescent="0.35">
      <c r="A29" s="38" t="s">
        <v>355</v>
      </c>
      <c r="B29" s="38" t="s">
        <v>345</v>
      </c>
      <c r="C29" s="39">
        <v>67.672300000000007</v>
      </c>
      <c r="D29" s="39">
        <v>72.877200000000002</v>
      </c>
      <c r="E29" s="39">
        <v>63.245800000000003</v>
      </c>
      <c r="F29" s="39">
        <v>27.488</v>
      </c>
      <c r="G29" s="39">
        <v>37.7502</v>
      </c>
      <c r="H29" s="39">
        <v>28.688500000000001</v>
      </c>
      <c r="I29" s="39">
        <v>51.518599999999999</v>
      </c>
      <c r="J29" s="39">
        <v>31.7791</v>
      </c>
      <c r="K29" s="39">
        <v>61.76</v>
      </c>
    </row>
    <row r="30" spans="1:11" ht="14.5" x14ac:dyDescent="0.35">
      <c r="A30" s="38" t="s">
        <v>355</v>
      </c>
      <c r="B30" s="38" t="s">
        <v>346</v>
      </c>
      <c r="C30" s="39">
        <v>74.947800000000001</v>
      </c>
      <c r="D30" s="39">
        <v>77.178299999999993</v>
      </c>
      <c r="E30" s="39">
        <v>77.733199999999997</v>
      </c>
      <c r="F30" s="39">
        <v>46.436399999999999</v>
      </c>
      <c r="G30" s="39">
        <v>61.156700000000001</v>
      </c>
      <c r="H30" s="39">
        <v>42.509</v>
      </c>
      <c r="I30" s="39">
        <v>68.861199999999997</v>
      </c>
      <c r="J30" s="39">
        <v>52.695999999999998</v>
      </c>
      <c r="K30" s="39">
        <v>71.222800000000007</v>
      </c>
    </row>
    <row r="31" spans="1:11" ht="14.5" x14ac:dyDescent="0.35">
      <c r="A31" s="38" t="s">
        <v>355</v>
      </c>
      <c r="B31" s="38" t="s">
        <v>347</v>
      </c>
      <c r="C31" s="39">
        <v>90.466999999999999</v>
      </c>
      <c r="D31" s="39">
        <v>91.845799999999997</v>
      </c>
      <c r="E31" s="39">
        <v>93.418599999999998</v>
      </c>
      <c r="F31" s="39">
        <v>79.6875</v>
      </c>
      <c r="G31" s="39">
        <v>85.0946</v>
      </c>
      <c r="H31" s="39">
        <v>75.862099999999998</v>
      </c>
      <c r="I31" s="39">
        <v>89.025700000000001</v>
      </c>
      <c r="J31" s="39">
        <v>90.589399999999998</v>
      </c>
      <c r="K31" s="39">
        <v>89.999300000000005</v>
      </c>
    </row>
    <row r="32" spans="1:11" ht="14.5" x14ac:dyDescent="0.35">
      <c r="A32" s="49" t="s">
        <v>355</v>
      </c>
      <c r="B32" s="49" t="s">
        <v>304</v>
      </c>
      <c r="C32" s="50">
        <v>73.539000000000001</v>
      </c>
      <c r="D32" s="50">
        <v>74.426599999999993</v>
      </c>
      <c r="E32" s="50">
        <v>71.261200000000002</v>
      </c>
      <c r="F32" s="50">
        <v>44.500900000000001</v>
      </c>
      <c r="G32" s="50">
        <v>49.382899999999999</v>
      </c>
      <c r="H32" s="50">
        <v>38.549599999999998</v>
      </c>
      <c r="I32" s="50">
        <v>61.919199999999996</v>
      </c>
      <c r="J32" s="50">
        <v>51.480200000000004</v>
      </c>
      <c r="K32" s="50">
        <v>68.384100000000004</v>
      </c>
    </row>
    <row r="33" spans="1:11" ht="14.5" x14ac:dyDescent="0.35">
      <c r="A33" s="100" t="s">
        <v>491</v>
      </c>
      <c r="B33" s="99"/>
      <c r="C33" s="99"/>
      <c r="D33" s="99"/>
      <c r="E33" s="99"/>
      <c r="F33" s="99"/>
      <c r="G33" s="99"/>
      <c r="H33" s="99"/>
      <c r="I33" s="99"/>
      <c r="J33" s="99"/>
      <c r="K33" s="99"/>
    </row>
    <row r="34" spans="1:11" ht="22.5" customHeight="1" x14ac:dyDescent="0.35">
      <c r="A34" s="100" t="s">
        <v>1096</v>
      </c>
      <c r="B34" s="99"/>
      <c r="C34" s="99"/>
      <c r="D34" s="99"/>
      <c r="E34" s="99"/>
      <c r="F34" s="99"/>
      <c r="G34" s="99"/>
      <c r="H34" s="99"/>
      <c r="I34" s="99"/>
      <c r="J34" s="99"/>
      <c r="K34" s="99"/>
    </row>
    <row r="35" spans="1:11" ht="14.5" x14ac:dyDescent="0.35">
      <c r="A35" s="44"/>
      <c r="B35" s="35"/>
      <c r="C35" s="35"/>
      <c r="D35" s="35"/>
      <c r="E35" s="35"/>
      <c r="F35" s="35"/>
      <c r="G35" s="35"/>
      <c r="H35" s="35"/>
      <c r="I35" s="35"/>
      <c r="J35" s="35"/>
      <c r="K35" s="35"/>
    </row>
    <row r="36" spans="1:11" ht="14.5" x14ac:dyDescent="0.35">
      <c r="A36" s="35" t="s">
        <v>290</v>
      </c>
      <c r="B36" s="35"/>
      <c r="C36" s="35"/>
      <c r="D36" s="35"/>
      <c r="E36" s="35"/>
      <c r="F36" s="35"/>
      <c r="G36" s="35"/>
      <c r="H36" s="35"/>
      <c r="I36" s="35"/>
      <c r="J36" s="35"/>
      <c r="K36" s="35"/>
    </row>
    <row r="37" spans="1:11" ht="14.5" x14ac:dyDescent="0.35">
      <c r="A37" s="45" t="s">
        <v>291</v>
      </c>
      <c r="B37" s="35"/>
      <c r="C37" s="35"/>
      <c r="D37" s="35"/>
      <c r="E37" s="35"/>
      <c r="F37" s="35"/>
      <c r="G37" s="35"/>
      <c r="H37" s="35"/>
      <c r="I37" s="35"/>
      <c r="J37" s="35"/>
      <c r="K37" s="35"/>
    </row>
    <row r="38" spans="1:11" ht="14.5" x14ac:dyDescent="0.35">
      <c r="A38" s="35"/>
      <c r="B38" s="35"/>
      <c r="C38" s="35"/>
      <c r="D38" s="35"/>
      <c r="E38" s="35"/>
      <c r="F38" s="35"/>
      <c r="G38" s="35"/>
      <c r="H38" s="35"/>
      <c r="I38" s="35"/>
      <c r="J38" s="35"/>
      <c r="K38" s="35"/>
    </row>
    <row r="39" spans="1:11" ht="14.5" x14ac:dyDescent="0.35">
      <c r="A39" s="45" t="s">
        <v>3</v>
      </c>
      <c r="B39" s="35"/>
      <c r="C39" s="35"/>
      <c r="D39" s="35"/>
      <c r="E39" s="35"/>
      <c r="F39" s="35"/>
      <c r="G39" s="35"/>
      <c r="H39" s="35"/>
      <c r="I39" s="35"/>
      <c r="J39" s="35"/>
      <c r="K39" s="35"/>
    </row>
    <row r="40" spans="1:11" ht="14.5" x14ac:dyDescent="0.35">
      <c r="A40" s="35"/>
      <c r="B40" s="35"/>
      <c r="C40" s="35"/>
      <c r="D40" s="35"/>
      <c r="E40" s="35"/>
      <c r="F40" s="35"/>
      <c r="G40" s="35"/>
      <c r="H40" s="35"/>
      <c r="I40" s="35"/>
      <c r="J40" s="35"/>
      <c r="K40" s="35"/>
    </row>
    <row r="41" spans="1:11" ht="14.5" x14ac:dyDescent="0.35">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3400-000000000000}"/>
    <hyperlink ref="A39" location="'Technical specifications'!A1" display="Technical specifications" xr:uid="{00000000-0004-0000-3400-000001000000}"/>
    <hyperlink ref="A41" location="Contents!A1" display="Back to contents" xr:uid="{00000000-0004-0000-3400-000002000000}"/>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G38"/>
  <sheetViews>
    <sheetView workbookViewId="0">
      <selection sqref="A1:G1"/>
    </sheetView>
  </sheetViews>
  <sheetFormatPr defaultRowHeight="14.75" customHeight="1" x14ac:dyDescent="0.35"/>
  <cols>
    <col min="1" max="1" width="42" customWidth="1"/>
    <col min="2" max="2" width="15" customWidth="1"/>
    <col min="3" max="7" width="11.1796875" customWidth="1"/>
  </cols>
  <sheetData>
    <row r="1" spans="1:7" ht="33.75" customHeight="1" x14ac:dyDescent="0.35">
      <c r="A1" s="96" t="s">
        <v>1100</v>
      </c>
      <c r="B1" s="97"/>
      <c r="C1" s="97"/>
      <c r="D1" s="97"/>
      <c r="E1" s="97"/>
      <c r="F1" s="97"/>
      <c r="G1" s="97"/>
    </row>
    <row r="2" spans="1:7" ht="14.5" x14ac:dyDescent="0.35">
      <c r="A2" s="36" t="s">
        <v>546</v>
      </c>
      <c r="B2" s="36" t="s">
        <v>293</v>
      </c>
      <c r="C2" s="37" t="s">
        <v>277</v>
      </c>
      <c r="D2" s="37" t="s">
        <v>278</v>
      </c>
      <c r="E2" s="37" t="s">
        <v>279</v>
      </c>
      <c r="F2" s="37" t="s">
        <v>280</v>
      </c>
      <c r="G2" s="37" t="s">
        <v>281</v>
      </c>
    </row>
    <row r="3" spans="1:7" ht="14.5" x14ac:dyDescent="0.35">
      <c r="A3" s="38" t="s">
        <v>428</v>
      </c>
      <c r="B3" s="38" t="s">
        <v>295</v>
      </c>
      <c r="C3" s="40" t="s">
        <v>1101</v>
      </c>
      <c r="D3" s="40" t="s">
        <v>738</v>
      </c>
      <c r="E3" s="40" t="s">
        <v>729</v>
      </c>
      <c r="F3" s="40" t="s">
        <v>1102</v>
      </c>
      <c r="G3" s="40" t="s">
        <v>626</v>
      </c>
    </row>
    <row r="4" spans="1:7" ht="14.5" x14ac:dyDescent="0.35">
      <c r="A4" s="38" t="s">
        <v>428</v>
      </c>
      <c r="B4" s="38" t="s">
        <v>297</v>
      </c>
      <c r="C4" s="40" t="s">
        <v>1103</v>
      </c>
      <c r="D4" s="40" t="s">
        <v>1104</v>
      </c>
      <c r="E4" s="40" t="s">
        <v>784</v>
      </c>
      <c r="F4" s="40" t="s">
        <v>782</v>
      </c>
      <c r="G4" s="40" t="s">
        <v>1105</v>
      </c>
    </row>
    <row r="5" spans="1:7" ht="14.5" x14ac:dyDescent="0.35">
      <c r="A5" s="38" t="s">
        <v>428</v>
      </c>
      <c r="B5" s="38" t="s">
        <v>298</v>
      </c>
      <c r="C5" s="40" t="s">
        <v>1106</v>
      </c>
      <c r="D5" s="40" t="s">
        <v>783</v>
      </c>
      <c r="E5" s="40" t="s">
        <v>1104</v>
      </c>
      <c r="F5" s="40" t="s">
        <v>1107</v>
      </c>
      <c r="G5" s="40" t="s">
        <v>1108</v>
      </c>
    </row>
    <row r="6" spans="1:7" ht="14.5" x14ac:dyDescent="0.35">
      <c r="A6" s="38" t="s">
        <v>428</v>
      </c>
      <c r="B6" s="38" t="s">
        <v>299</v>
      </c>
      <c r="C6" s="40" t="s">
        <v>1109</v>
      </c>
      <c r="D6" s="40" t="s">
        <v>1110</v>
      </c>
      <c r="E6" s="40" t="s">
        <v>787</v>
      </c>
      <c r="F6" s="40" t="s">
        <v>1111</v>
      </c>
      <c r="G6" s="40" t="s">
        <v>1112</v>
      </c>
    </row>
    <row r="7" spans="1:7" ht="14.5" x14ac:dyDescent="0.35">
      <c r="A7" s="38" t="s">
        <v>428</v>
      </c>
      <c r="B7" s="38" t="s">
        <v>300</v>
      </c>
      <c r="C7" s="40" t="s">
        <v>781</v>
      </c>
      <c r="D7" s="40" t="s">
        <v>1113</v>
      </c>
      <c r="E7" s="40" t="s">
        <v>785</v>
      </c>
      <c r="F7" s="40" t="s">
        <v>1114</v>
      </c>
      <c r="G7" s="40" t="s">
        <v>595</v>
      </c>
    </row>
    <row r="8" spans="1:7" ht="14.5" x14ac:dyDescent="0.35">
      <c r="A8" s="38" t="s">
        <v>428</v>
      </c>
      <c r="B8" s="38" t="s">
        <v>301</v>
      </c>
      <c r="C8" s="40" t="s">
        <v>1115</v>
      </c>
      <c r="D8" s="40" t="s">
        <v>1116</v>
      </c>
      <c r="E8" s="40" t="s">
        <v>1117</v>
      </c>
      <c r="F8" s="40" t="s">
        <v>1118</v>
      </c>
      <c r="G8" s="40" t="s">
        <v>666</v>
      </c>
    </row>
    <row r="9" spans="1:7" ht="14.5" x14ac:dyDescent="0.35">
      <c r="A9" s="38" t="s">
        <v>428</v>
      </c>
      <c r="B9" s="38" t="s">
        <v>302</v>
      </c>
      <c r="C9" s="40" t="s">
        <v>1119</v>
      </c>
      <c r="D9" s="40" t="s">
        <v>1120</v>
      </c>
      <c r="E9" s="40" t="s">
        <v>1121</v>
      </c>
      <c r="F9" s="40" t="s">
        <v>1122</v>
      </c>
      <c r="G9" s="40" t="s">
        <v>1123</v>
      </c>
    </row>
    <row r="10" spans="1:7" ht="14.5" x14ac:dyDescent="0.35">
      <c r="A10" s="38" t="s">
        <v>428</v>
      </c>
      <c r="B10" s="38" t="s">
        <v>303</v>
      </c>
      <c r="C10" s="40" t="s">
        <v>1124</v>
      </c>
      <c r="D10" s="40" t="s">
        <v>618</v>
      </c>
      <c r="E10" s="40" t="s">
        <v>746</v>
      </c>
      <c r="F10" s="40" t="s">
        <v>591</v>
      </c>
      <c r="G10" s="40" t="s">
        <v>1125</v>
      </c>
    </row>
    <row r="11" spans="1:7" ht="14.5" x14ac:dyDescent="0.35">
      <c r="A11" s="38" t="s">
        <v>428</v>
      </c>
      <c r="B11" s="38" t="s">
        <v>304</v>
      </c>
      <c r="C11" s="40" t="s">
        <v>1126</v>
      </c>
      <c r="D11" s="40" t="s">
        <v>1127</v>
      </c>
      <c r="E11" s="40" t="s">
        <v>1128</v>
      </c>
      <c r="F11" s="40" t="s">
        <v>622</v>
      </c>
      <c r="G11" s="40" t="s">
        <v>1129</v>
      </c>
    </row>
    <row r="12" spans="1:7" ht="14.5" x14ac:dyDescent="0.35">
      <c r="A12" s="38" t="s">
        <v>429</v>
      </c>
      <c r="B12" s="38" t="s">
        <v>295</v>
      </c>
      <c r="C12" s="40" t="s">
        <v>1130</v>
      </c>
      <c r="D12" s="40" t="s">
        <v>1131</v>
      </c>
      <c r="E12" s="40" t="s">
        <v>1132</v>
      </c>
      <c r="F12" s="40" t="s">
        <v>1133</v>
      </c>
      <c r="G12" s="40" t="s">
        <v>1134</v>
      </c>
    </row>
    <row r="13" spans="1:7" ht="14.5" x14ac:dyDescent="0.35">
      <c r="A13" s="38" t="s">
        <v>429</v>
      </c>
      <c r="B13" s="38" t="s">
        <v>297</v>
      </c>
      <c r="C13" s="40" t="s">
        <v>1135</v>
      </c>
      <c r="D13" s="40" t="s">
        <v>1136</v>
      </c>
      <c r="E13" s="40" t="s">
        <v>1137</v>
      </c>
      <c r="F13" s="40" t="s">
        <v>1138</v>
      </c>
      <c r="G13" s="40" t="s">
        <v>1137</v>
      </c>
    </row>
    <row r="14" spans="1:7" ht="14.5" x14ac:dyDescent="0.35">
      <c r="A14" s="38" t="s">
        <v>429</v>
      </c>
      <c r="B14" s="38" t="s">
        <v>298</v>
      </c>
      <c r="C14" s="40" t="s">
        <v>1139</v>
      </c>
      <c r="D14" s="40" t="s">
        <v>1140</v>
      </c>
      <c r="E14" s="40" t="s">
        <v>1141</v>
      </c>
      <c r="F14" s="40" t="s">
        <v>1142</v>
      </c>
      <c r="G14" s="40" t="s">
        <v>1143</v>
      </c>
    </row>
    <row r="15" spans="1:7" ht="14.5" x14ac:dyDescent="0.35">
      <c r="A15" s="38" t="s">
        <v>429</v>
      </c>
      <c r="B15" s="38" t="s">
        <v>299</v>
      </c>
      <c r="C15" s="40" t="s">
        <v>1144</v>
      </c>
      <c r="D15" s="40" t="s">
        <v>1145</v>
      </c>
      <c r="E15" s="40" t="s">
        <v>1146</v>
      </c>
      <c r="F15" s="40" t="s">
        <v>1147</v>
      </c>
      <c r="G15" s="40" t="s">
        <v>1148</v>
      </c>
    </row>
    <row r="16" spans="1:7" ht="14.5" x14ac:dyDescent="0.35">
      <c r="A16" s="38" t="s">
        <v>429</v>
      </c>
      <c r="B16" s="38" t="s">
        <v>300</v>
      </c>
      <c r="C16" s="40" t="s">
        <v>1134</v>
      </c>
      <c r="D16" s="40" t="s">
        <v>1149</v>
      </c>
      <c r="E16" s="40" t="s">
        <v>1150</v>
      </c>
      <c r="F16" s="40" t="s">
        <v>1150</v>
      </c>
      <c r="G16" s="40" t="s">
        <v>1151</v>
      </c>
    </row>
    <row r="17" spans="1:7" ht="14.5" x14ac:dyDescent="0.35">
      <c r="A17" s="38" t="s">
        <v>429</v>
      </c>
      <c r="B17" s="38" t="s">
        <v>301</v>
      </c>
      <c r="C17" s="40" t="s">
        <v>1152</v>
      </c>
      <c r="D17" s="40" t="s">
        <v>1153</v>
      </c>
      <c r="E17" s="40" t="s">
        <v>1148</v>
      </c>
      <c r="F17" s="40" t="s">
        <v>1138</v>
      </c>
      <c r="G17" s="40" t="s">
        <v>1151</v>
      </c>
    </row>
    <row r="18" spans="1:7" ht="14.5" x14ac:dyDescent="0.35">
      <c r="A18" s="38" t="s">
        <v>429</v>
      </c>
      <c r="B18" s="38" t="s">
        <v>302</v>
      </c>
      <c r="C18" s="40" t="s">
        <v>1154</v>
      </c>
      <c r="D18" s="40" t="s">
        <v>1155</v>
      </c>
      <c r="E18" s="40" t="s">
        <v>1156</v>
      </c>
      <c r="F18" s="40" t="s">
        <v>1157</v>
      </c>
      <c r="G18" s="40" t="s">
        <v>1158</v>
      </c>
    </row>
    <row r="19" spans="1:7" ht="14.5" x14ac:dyDescent="0.35">
      <c r="A19" s="38" t="s">
        <v>429</v>
      </c>
      <c r="B19" s="38" t="s">
        <v>303</v>
      </c>
      <c r="C19" s="40" t="s">
        <v>1159</v>
      </c>
      <c r="D19" s="40" t="s">
        <v>1160</v>
      </c>
      <c r="E19" s="40" t="s">
        <v>1161</v>
      </c>
      <c r="F19" s="40" t="s">
        <v>1162</v>
      </c>
      <c r="G19" s="40" t="s">
        <v>1163</v>
      </c>
    </row>
    <row r="20" spans="1:7" ht="14.5" x14ac:dyDescent="0.35">
      <c r="A20" s="38" t="s">
        <v>429</v>
      </c>
      <c r="B20" s="38" t="s">
        <v>304</v>
      </c>
      <c r="C20" s="40" t="s">
        <v>1164</v>
      </c>
      <c r="D20" s="40" t="s">
        <v>1165</v>
      </c>
      <c r="E20" s="40" t="s">
        <v>1166</v>
      </c>
      <c r="F20" s="40" t="s">
        <v>1149</v>
      </c>
      <c r="G20" s="40" t="s">
        <v>1148</v>
      </c>
    </row>
    <row r="21" spans="1:7" ht="14.5" x14ac:dyDescent="0.35">
      <c r="A21" s="38" t="s">
        <v>430</v>
      </c>
      <c r="B21" s="38" t="s">
        <v>295</v>
      </c>
      <c r="C21" s="40" t="s">
        <v>1146</v>
      </c>
      <c r="D21" s="40" t="s">
        <v>1149</v>
      </c>
      <c r="E21" s="40" t="s">
        <v>1151</v>
      </c>
      <c r="F21" s="40" t="s">
        <v>1167</v>
      </c>
      <c r="G21" s="40" t="s">
        <v>1168</v>
      </c>
    </row>
    <row r="22" spans="1:7" ht="14.5" x14ac:dyDescent="0.35">
      <c r="A22" s="38" t="s">
        <v>430</v>
      </c>
      <c r="B22" s="38" t="s">
        <v>297</v>
      </c>
      <c r="C22" s="40" t="s">
        <v>1150</v>
      </c>
      <c r="D22" s="40" t="s">
        <v>1169</v>
      </c>
      <c r="E22" s="40" t="s">
        <v>1170</v>
      </c>
      <c r="F22" s="40" t="s">
        <v>1171</v>
      </c>
      <c r="G22" s="40" t="s">
        <v>1172</v>
      </c>
    </row>
    <row r="23" spans="1:7" ht="14.5" x14ac:dyDescent="0.35">
      <c r="A23" s="38" t="s">
        <v>430</v>
      </c>
      <c r="B23" s="38" t="s">
        <v>298</v>
      </c>
      <c r="C23" s="40" t="s">
        <v>1133</v>
      </c>
      <c r="D23" s="40" t="s">
        <v>1137</v>
      </c>
      <c r="E23" s="40" t="s">
        <v>1173</v>
      </c>
      <c r="F23" s="40" t="s">
        <v>1174</v>
      </c>
      <c r="G23" s="40" t="s">
        <v>1175</v>
      </c>
    </row>
    <row r="24" spans="1:7" ht="14.5" x14ac:dyDescent="0.35">
      <c r="A24" s="38" t="s">
        <v>430</v>
      </c>
      <c r="B24" s="38" t="s">
        <v>299</v>
      </c>
      <c r="C24" s="40" t="s">
        <v>1133</v>
      </c>
      <c r="D24" s="40" t="s">
        <v>1176</v>
      </c>
      <c r="E24" s="40" t="s">
        <v>1177</v>
      </c>
      <c r="F24" s="40" t="s">
        <v>1143</v>
      </c>
      <c r="G24" s="40" t="s">
        <v>1178</v>
      </c>
    </row>
    <row r="25" spans="1:7" ht="14.5" x14ac:dyDescent="0.35">
      <c r="A25" s="38" t="s">
        <v>430</v>
      </c>
      <c r="B25" s="38" t="s">
        <v>300</v>
      </c>
      <c r="C25" s="40" t="s">
        <v>1179</v>
      </c>
      <c r="D25" s="40" t="s">
        <v>1167</v>
      </c>
      <c r="E25" s="40" t="s">
        <v>1172</v>
      </c>
      <c r="F25" s="40" t="s">
        <v>1180</v>
      </c>
      <c r="G25" s="40" t="s">
        <v>1181</v>
      </c>
    </row>
    <row r="26" spans="1:7" ht="14.5" x14ac:dyDescent="0.35">
      <c r="A26" s="38" t="s">
        <v>430</v>
      </c>
      <c r="B26" s="38" t="s">
        <v>301</v>
      </c>
      <c r="C26" s="40" t="s">
        <v>1151</v>
      </c>
      <c r="D26" s="40" t="s">
        <v>1182</v>
      </c>
      <c r="E26" s="40" t="s">
        <v>1170</v>
      </c>
      <c r="F26" s="40" t="s">
        <v>1183</v>
      </c>
      <c r="G26" s="40" t="s">
        <v>1184</v>
      </c>
    </row>
    <row r="27" spans="1:7" ht="14.5" x14ac:dyDescent="0.35">
      <c r="A27" s="38" t="s">
        <v>430</v>
      </c>
      <c r="B27" s="38" t="s">
        <v>302</v>
      </c>
      <c r="C27" s="40" t="s">
        <v>1185</v>
      </c>
      <c r="D27" s="40" t="s">
        <v>1171</v>
      </c>
      <c r="E27" s="40" t="s">
        <v>1186</v>
      </c>
      <c r="F27" s="40" t="s">
        <v>1187</v>
      </c>
      <c r="G27" s="40" t="s">
        <v>1188</v>
      </c>
    </row>
    <row r="28" spans="1:7" ht="14.5" x14ac:dyDescent="0.35">
      <c r="A28" s="38" t="s">
        <v>430</v>
      </c>
      <c r="B28" s="38" t="s">
        <v>303</v>
      </c>
      <c r="C28" s="40" t="s">
        <v>1189</v>
      </c>
      <c r="D28" s="40" t="s">
        <v>1142</v>
      </c>
      <c r="E28" s="40" t="s">
        <v>1190</v>
      </c>
      <c r="F28" s="40" t="s">
        <v>1185</v>
      </c>
      <c r="G28" s="40" t="s">
        <v>1191</v>
      </c>
    </row>
    <row r="29" spans="1:7" ht="14.5" x14ac:dyDescent="0.35">
      <c r="A29" s="49" t="s">
        <v>430</v>
      </c>
      <c r="B29" s="49" t="s">
        <v>304</v>
      </c>
      <c r="C29" s="51" t="s">
        <v>1158</v>
      </c>
      <c r="D29" s="51" t="s">
        <v>1155</v>
      </c>
      <c r="E29" s="51" t="s">
        <v>1187</v>
      </c>
      <c r="F29" s="51" t="s">
        <v>1192</v>
      </c>
      <c r="G29" s="51" t="s">
        <v>1173</v>
      </c>
    </row>
    <row r="30" spans="1:7" ht="14.5" x14ac:dyDescent="0.35">
      <c r="A30" s="98" t="s">
        <v>796</v>
      </c>
      <c r="B30" s="99"/>
      <c r="C30" s="99"/>
      <c r="D30" s="99"/>
      <c r="E30" s="99"/>
      <c r="F30" s="99"/>
      <c r="G30" s="99"/>
    </row>
    <row r="31" spans="1:7" ht="14.5" x14ac:dyDescent="0.35">
      <c r="A31" s="98" t="s">
        <v>1193</v>
      </c>
      <c r="B31" s="99"/>
      <c r="C31" s="99"/>
      <c r="D31" s="99"/>
      <c r="E31" s="99"/>
      <c r="F31" s="99"/>
      <c r="G31" s="99"/>
    </row>
    <row r="32" spans="1:7" ht="14.5" x14ac:dyDescent="0.35">
      <c r="A32" s="44"/>
      <c r="B32" s="35"/>
      <c r="C32" s="35"/>
      <c r="D32" s="35"/>
      <c r="E32" s="35"/>
      <c r="F32" s="35"/>
      <c r="G32" s="35"/>
    </row>
    <row r="33" spans="1:7" ht="14.5" x14ac:dyDescent="0.35">
      <c r="A33" s="35" t="s">
        <v>290</v>
      </c>
      <c r="B33" s="35"/>
      <c r="C33" s="35"/>
      <c r="D33" s="35"/>
      <c r="E33" s="35"/>
      <c r="F33" s="35"/>
      <c r="G33" s="35"/>
    </row>
    <row r="34" spans="1:7" ht="14.5" x14ac:dyDescent="0.35">
      <c r="A34" s="45" t="s">
        <v>291</v>
      </c>
      <c r="B34" s="35"/>
      <c r="C34" s="35"/>
      <c r="D34" s="35"/>
      <c r="E34" s="35"/>
      <c r="F34" s="35"/>
      <c r="G34" s="35"/>
    </row>
    <row r="35" spans="1:7" ht="14.5" x14ac:dyDescent="0.35">
      <c r="A35" s="35"/>
      <c r="B35" s="35"/>
      <c r="C35" s="35"/>
      <c r="D35" s="35"/>
      <c r="E35" s="35"/>
      <c r="F35" s="35"/>
      <c r="G35" s="35"/>
    </row>
    <row r="36" spans="1:7" ht="14.5" x14ac:dyDescent="0.35">
      <c r="A36" s="45" t="s">
        <v>3</v>
      </c>
      <c r="B36" s="35"/>
      <c r="C36" s="35"/>
      <c r="D36" s="35"/>
      <c r="E36" s="35"/>
      <c r="F36" s="35"/>
      <c r="G36" s="35"/>
    </row>
    <row r="37" spans="1:7" ht="14.5" x14ac:dyDescent="0.35">
      <c r="A37" s="35"/>
      <c r="B37" s="35"/>
      <c r="C37" s="35"/>
      <c r="D37" s="35"/>
      <c r="E37" s="35"/>
      <c r="F37" s="35"/>
      <c r="G37" s="35"/>
    </row>
    <row r="38" spans="1:7" ht="14.5" x14ac:dyDescent="0.35">
      <c r="A38" s="45" t="s">
        <v>292</v>
      </c>
      <c r="B38" s="35"/>
      <c r="C38" s="35"/>
      <c r="D38" s="35"/>
      <c r="E38" s="35"/>
      <c r="F38" s="35"/>
      <c r="G38" s="35"/>
    </row>
  </sheetData>
  <mergeCells count="3">
    <mergeCell ref="A31:G31"/>
    <mergeCell ref="A30:G30"/>
    <mergeCell ref="A1:G1"/>
  </mergeCells>
  <hyperlinks>
    <hyperlink ref="A34" r:id="rId1" xr:uid="{00000000-0004-0000-3500-000000000000}"/>
    <hyperlink ref="A36" location="'Technical specifications'!A1" display="Technical specifications" xr:uid="{00000000-0004-0000-3500-000001000000}"/>
    <hyperlink ref="A38" location="Contents!A1" display="Back to contents" xr:uid="{00000000-0004-0000-3500-000002000000}"/>
  </hyperlink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K32"/>
  <sheetViews>
    <sheetView workbookViewId="0">
      <selection sqref="A1:K1"/>
    </sheetView>
  </sheetViews>
  <sheetFormatPr defaultRowHeight="14.75" customHeight="1" x14ac:dyDescent="0.35"/>
  <cols>
    <col min="1" max="1" width="42" customWidth="1"/>
    <col min="2" max="2" width="15" customWidth="1"/>
    <col min="3" max="11" width="8.453125" customWidth="1"/>
  </cols>
  <sheetData>
    <row r="1" spans="1:11" ht="33.75" customHeight="1" x14ac:dyDescent="0.35">
      <c r="A1" s="96" t="s">
        <v>1194</v>
      </c>
      <c r="B1" s="97"/>
      <c r="C1" s="97"/>
      <c r="D1" s="97"/>
      <c r="E1" s="97"/>
      <c r="F1" s="97"/>
      <c r="G1" s="97"/>
      <c r="H1" s="97"/>
      <c r="I1" s="97"/>
      <c r="J1" s="97"/>
      <c r="K1" s="97"/>
    </row>
    <row r="2" spans="1:11" ht="14.5" x14ac:dyDescent="0.35">
      <c r="A2" s="36" t="s">
        <v>546</v>
      </c>
      <c r="B2" s="36" t="s">
        <v>337</v>
      </c>
      <c r="C2" s="37" t="s">
        <v>295</v>
      </c>
      <c r="D2" s="37" t="s">
        <v>297</v>
      </c>
      <c r="E2" s="37" t="s">
        <v>298</v>
      </c>
      <c r="F2" s="37" t="s">
        <v>299</v>
      </c>
      <c r="G2" s="37" t="s">
        <v>300</v>
      </c>
      <c r="H2" s="37" t="s">
        <v>301</v>
      </c>
      <c r="I2" s="37" t="s">
        <v>302</v>
      </c>
      <c r="J2" s="37" t="s">
        <v>303</v>
      </c>
      <c r="K2" s="37" t="s">
        <v>304</v>
      </c>
    </row>
    <row r="3" spans="1:11" ht="14.5" x14ac:dyDescent="0.35">
      <c r="A3" s="58" t="s">
        <v>1298</v>
      </c>
      <c r="B3" s="58" t="s">
        <v>343</v>
      </c>
      <c r="C3" s="40" t="s">
        <v>1195</v>
      </c>
      <c r="D3" s="40" t="s">
        <v>1196</v>
      </c>
      <c r="E3" s="40" t="s">
        <v>783</v>
      </c>
      <c r="F3" s="40" t="s">
        <v>1197</v>
      </c>
      <c r="G3" s="40" t="s">
        <v>1198</v>
      </c>
      <c r="H3" s="40" t="s">
        <v>1199</v>
      </c>
      <c r="I3" s="40" t="s">
        <v>1174</v>
      </c>
      <c r="J3" s="40" t="s">
        <v>1110</v>
      </c>
      <c r="K3" s="40" t="s">
        <v>1200</v>
      </c>
    </row>
    <row r="4" spans="1:11" ht="14.5" x14ac:dyDescent="0.35">
      <c r="A4" s="58" t="s">
        <v>1298</v>
      </c>
      <c r="B4" s="58" t="s">
        <v>344</v>
      </c>
      <c r="C4" s="40" t="s">
        <v>1201</v>
      </c>
      <c r="D4" s="40" t="s">
        <v>782</v>
      </c>
      <c r="E4" s="40" t="s">
        <v>785</v>
      </c>
      <c r="F4" s="40" t="s">
        <v>1202</v>
      </c>
      <c r="G4" s="40" t="s">
        <v>1128</v>
      </c>
      <c r="H4" s="40" t="s">
        <v>1203</v>
      </c>
      <c r="I4" s="40" t="s">
        <v>1204</v>
      </c>
      <c r="J4" s="40" t="s">
        <v>1128</v>
      </c>
      <c r="K4" s="40" t="s">
        <v>1128</v>
      </c>
    </row>
    <row r="5" spans="1:11" ht="14.5" x14ac:dyDescent="0.35">
      <c r="A5" s="58" t="s">
        <v>1298</v>
      </c>
      <c r="B5" s="58" t="s">
        <v>345</v>
      </c>
      <c r="C5" s="40" t="s">
        <v>596</v>
      </c>
      <c r="D5" s="40" t="s">
        <v>1205</v>
      </c>
      <c r="E5" s="40" t="s">
        <v>1206</v>
      </c>
      <c r="F5" s="40" t="s">
        <v>1207</v>
      </c>
      <c r="G5" s="40" t="s">
        <v>607</v>
      </c>
      <c r="H5" s="40" t="s">
        <v>1208</v>
      </c>
      <c r="I5" s="40" t="s">
        <v>1209</v>
      </c>
      <c r="J5" s="40" t="s">
        <v>1210</v>
      </c>
      <c r="K5" s="40" t="s">
        <v>621</v>
      </c>
    </row>
    <row r="6" spans="1:11" ht="14.5" x14ac:dyDescent="0.35">
      <c r="A6" s="58" t="s">
        <v>1298</v>
      </c>
      <c r="B6" s="58" t="s">
        <v>346</v>
      </c>
      <c r="C6" s="40" t="s">
        <v>1211</v>
      </c>
      <c r="D6" s="40" t="s">
        <v>1212</v>
      </c>
      <c r="E6" s="40" t="s">
        <v>1213</v>
      </c>
      <c r="F6" s="40" t="s">
        <v>1214</v>
      </c>
      <c r="G6" s="40" t="s">
        <v>605</v>
      </c>
      <c r="H6" s="40" t="s">
        <v>666</v>
      </c>
      <c r="I6" s="40" t="s">
        <v>1183</v>
      </c>
      <c r="J6" s="40" t="s">
        <v>1206</v>
      </c>
      <c r="K6" s="40" t="s">
        <v>1215</v>
      </c>
    </row>
    <row r="7" spans="1:11" ht="14.5" x14ac:dyDescent="0.35">
      <c r="A7" s="58" t="s">
        <v>1298</v>
      </c>
      <c r="B7" s="58" t="s">
        <v>347</v>
      </c>
      <c r="C7" s="40" t="s">
        <v>1216</v>
      </c>
      <c r="D7" s="40" t="s">
        <v>1168</v>
      </c>
      <c r="E7" s="40" t="s">
        <v>1217</v>
      </c>
      <c r="F7" s="40" t="s">
        <v>1218</v>
      </c>
      <c r="G7" s="40" t="s">
        <v>1200</v>
      </c>
      <c r="H7" s="40" t="s">
        <v>782</v>
      </c>
      <c r="I7" s="40" t="s">
        <v>1187</v>
      </c>
      <c r="J7" s="40" t="s">
        <v>600</v>
      </c>
      <c r="K7" s="40" t="s">
        <v>1181</v>
      </c>
    </row>
    <row r="8" spans="1:11" ht="14.5" x14ac:dyDescent="0.35">
      <c r="A8" s="61" t="s">
        <v>1314</v>
      </c>
      <c r="B8" s="61" t="s">
        <v>1316</v>
      </c>
      <c r="C8" s="40" t="s">
        <v>626</v>
      </c>
      <c r="D8" s="40" t="s">
        <v>1105</v>
      </c>
      <c r="E8" s="40" t="s">
        <v>1108</v>
      </c>
      <c r="F8" s="40" t="s">
        <v>1112</v>
      </c>
      <c r="G8" s="40" t="s">
        <v>595</v>
      </c>
      <c r="H8" s="40" t="s">
        <v>666</v>
      </c>
      <c r="I8" s="40" t="s">
        <v>1123</v>
      </c>
      <c r="J8" s="40" t="s">
        <v>1125</v>
      </c>
      <c r="K8" s="40" t="s">
        <v>1129</v>
      </c>
    </row>
    <row r="9" spans="1:11" ht="14.5" x14ac:dyDescent="0.35">
      <c r="A9" s="58" t="s">
        <v>1299</v>
      </c>
      <c r="B9" s="58" t="s">
        <v>343</v>
      </c>
      <c r="C9" s="40" t="s">
        <v>1219</v>
      </c>
      <c r="D9" s="40" t="s">
        <v>1220</v>
      </c>
      <c r="E9" s="40" t="s">
        <v>1221</v>
      </c>
      <c r="F9" s="40" t="s">
        <v>1222</v>
      </c>
      <c r="G9" s="40" t="s">
        <v>1223</v>
      </c>
      <c r="H9" s="40" t="s">
        <v>783</v>
      </c>
      <c r="I9" s="40" t="s">
        <v>1224</v>
      </c>
      <c r="J9" s="40" t="s">
        <v>1199</v>
      </c>
      <c r="K9" s="40" t="s">
        <v>747</v>
      </c>
    </row>
    <row r="10" spans="1:11" ht="14.5" x14ac:dyDescent="0.35">
      <c r="A10" s="58" t="s">
        <v>1299</v>
      </c>
      <c r="B10" s="58" t="s">
        <v>344</v>
      </c>
      <c r="C10" s="40" t="s">
        <v>1225</v>
      </c>
      <c r="D10" s="40" t="s">
        <v>1226</v>
      </c>
      <c r="E10" s="40" t="s">
        <v>1227</v>
      </c>
      <c r="F10" s="40" t="s">
        <v>1228</v>
      </c>
      <c r="G10" s="40" t="s">
        <v>1186</v>
      </c>
      <c r="H10" s="40" t="s">
        <v>1229</v>
      </c>
      <c r="I10" s="40" t="s">
        <v>1167</v>
      </c>
      <c r="J10" s="40" t="s">
        <v>1230</v>
      </c>
      <c r="K10" s="40" t="s">
        <v>1231</v>
      </c>
    </row>
    <row r="11" spans="1:11" ht="14.5" x14ac:dyDescent="0.35">
      <c r="A11" s="58" t="s">
        <v>1299</v>
      </c>
      <c r="B11" s="58" t="s">
        <v>345</v>
      </c>
      <c r="C11" s="40" t="s">
        <v>1232</v>
      </c>
      <c r="D11" s="40" t="s">
        <v>1173</v>
      </c>
      <c r="E11" s="40" t="s">
        <v>1233</v>
      </c>
      <c r="F11" s="40" t="s">
        <v>1173</v>
      </c>
      <c r="G11" s="40" t="s">
        <v>1216</v>
      </c>
      <c r="H11" s="40" t="s">
        <v>1174</v>
      </c>
      <c r="I11" s="40" t="s">
        <v>1143</v>
      </c>
      <c r="J11" s="40" t="s">
        <v>1234</v>
      </c>
      <c r="K11" s="40" t="s">
        <v>1178</v>
      </c>
    </row>
    <row r="12" spans="1:11" ht="14.5" x14ac:dyDescent="0.35">
      <c r="A12" s="58" t="s">
        <v>1299</v>
      </c>
      <c r="B12" s="58" t="s">
        <v>346</v>
      </c>
      <c r="C12" s="40" t="s">
        <v>1131</v>
      </c>
      <c r="D12" s="40" t="s">
        <v>1235</v>
      </c>
      <c r="E12" s="40" t="s">
        <v>1161</v>
      </c>
      <c r="F12" s="40" t="s">
        <v>1236</v>
      </c>
      <c r="G12" s="40" t="s">
        <v>1133</v>
      </c>
      <c r="H12" s="40" t="s">
        <v>1147</v>
      </c>
      <c r="I12" s="40" t="s">
        <v>1132</v>
      </c>
      <c r="J12" s="40" t="s">
        <v>1133</v>
      </c>
      <c r="K12" s="40" t="s">
        <v>1145</v>
      </c>
    </row>
    <row r="13" spans="1:11" ht="14.5" x14ac:dyDescent="0.35">
      <c r="A13" s="58" t="s">
        <v>1299</v>
      </c>
      <c r="B13" s="58" t="s">
        <v>347</v>
      </c>
      <c r="C13" s="40" t="s">
        <v>1237</v>
      </c>
      <c r="D13" s="40" t="s">
        <v>1238</v>
      </c>
      <c r="E13" s="40" t="s">
        <v>1239</v>
      </c>
      <c r="F13" s="40" t="s">
        <v>1240</v>
      </c>
      <c r="G13" s="40" t="s">
        <v>1241</v>
      </c>
      <c r="H13" s="40" t="s">
        <v>1242</v>
      </c>
      <c r="I13" s="40" t="s">
        <v>1243</v>
      </c>
      <c r="J13" s="40" t="s">
        <v>1244</v>
      </c>
      <c r="K13" s="40" t="s">
        <v>1245</v>
      </c>
    </row>
    <row r="14" spans="1:11" ht="14.5" x14ac:dyDescent="0.35">
      <c r="A14" s="61" t="s">
        <v>1315</v>
      </c>
      <c r="B14" s="61" t="s">
        <v>1316</v>
      </c>
      <c r="C14" s="40" t="s">
        <v>1134</v>
      </c>
      <c r="D14" s="40" t="s">
        <v>1137</v>
      </c>
      <c r="E14" s="40" t="s">
        <v>1143</v>
      </c>
      <c r="F14" s="40" t="s">
        <v>1148</v>
      </c>
      <c r="G14" s="40" t="s">
        <v>1151</v>
      </c>
      <c r="H14" s="40" t="s">
        <v>1151</v>
      </c>
      <c r="I14" s="40" t="s">
        <v>1158</v>
      </c>
      <c r="J14" s="40" t="s">
        <v>1163</v>
      </c>
      <c r="K14" s="40" t="s">
        <v>1148</v>
      </c>
    </row>
    <row r="15" spans="1:11" ht="14.5" x14ac:dyDescent="0.35">
      <c r="A15" s="58" t="s">
        <v>430</v>
      </c>
      <c r="B15" s="58" t="s">
        <v>343</v>
      </c>
      <c r="C15" s="40" t="s">
        <v>751</v>
      </c>
      <c r="D15" s="40" t="s">
        <v>1221</v>
      </c>
      <c r="E15" s="40" t="s">
        <v>1246</v>
      </c>
      <c r="F15" s="40" t="s">
        <v>1247</v>
      </c>
      <c r="G15" s="40" t="s">
        <v>781</v>
      </c>
      <c r="H15" s="40" t="s">
        <v>1219</v>
      </c>
      <c r="I15" s="40" t="s">
        <v>1181</v>
      </c>
      <c r="J15" s="40" t="s">
        <v>746</v>
      </c>
      <c r="K15" s="40" t="s">
        <v>1246</v>
      </c>
    </row>
    <row r="16" spans="1:11" ht="14.5" x14ac:dyDescent="0.35">
      <c r="A16" s="58" t="s">
        <v>430</v>
      </c>
      <c r="B16" s="58" t="s">
        <v>344</v>
      </c>
      <c r="C16" s="40" t="s">
        <v>783</v>
      </c>
      <c r="D16" s="40" t="s">
        <v>1197</v>
      </c>
      <c r="E16" s="40" t="s">
        <v>1248</v>
      </c>
      <c r="F16" s="40" t="s">
        <v>1249</v>
      </c>
      <c r="G16" s="40" t="s">
        <v>745</v>
      </c>
      <c r="H16" s="40" t="s">
        <v>623</v>
      </c>
      <c r="I16" s="40" t="s">
        <v>1169</v>
      </c>
      <c r="J16" s="40" t="s">
        <v>1198</v>
      </c>
      <c r="K16" s="40" t="s">
        <v>1198</v>
      </c>
    </row>
    <row r="17" spans="1:11" ht="14.5" x14ac:dyDescent="0.35">
      <c r="A17" s="58" t="s">
        <v>430</v>
      </c>
      <c r="B17" s="58" t="s">
        <v>345</v>
      </c>
      <c r="C17" s="40" t="s">
        <v>1250</v>
      </c>
      <c r="D17" s="40" t="s">
        <v>1251</v>
      </c>
      <c r="E17" s="40" t="s">
        <v>1252</v>
      </c>
      <c r="F17" s="40" t="s">
        <v>1253</v>
      </c>
      <c r="G17" s="40" t="s">
        <v>1248</v>
      </c>
      <c r="H17" s="40" t="s">
        <v>1254</v>
      </c>
      <c r="I17" s="40" t="s">
        <v>1228</v>
      </c>
      <c r="J17" s="40" t="s">
        <v>750</v>
      </c>
      <c r="K17" s="40" t="s">
        <v>1219</v>
      </c>
    </row>
    <row r="18" spans="1:11" ht="14.5" x14ac:dyDescent="0.35">
      <c r="A18" s="58" t="s">
        <v>430</v>
      </c>
      <c r="B18" s="58" t="s">
        <v>346</v>
      </c>
      <c r="C18" s="40" t="s">
        <v>1165</v>
      </c>
      <c r="D18" s="40" t="s">
        <v>1138</v>
      </c>
      <c r="E18" s="40" t="s">
        <v>1255</v>
      </c>
      <c r="F18" s="40" t="s">
        <v>1153</v>
      </c>
      <c r="G18" s="40" t="s">
        <v>1148</v>
      </c>
      <c r="H18" s="40" t="s">
        <v>1157</v>
      </c>
      <c r="I18" s="40" t="s">
        <v>1255</v>
      </c>
      <c r="J18" s="40" t="s">
        <v>1256</v>
      </c>
      <c r="K18" s="40" t="s">
        <v>1257</v>
      </c>
    </row>
    <row r="19" spans="1:11" ht="14.5" x14ac:dyDescent="0.35">
      <c r="A19" s="58" t="s">
        <v>430</v>
      </c>
      <c r="B19" s="58" t="s">
        <v>347</v>
      </c>
      <c r="C19" s="40" t="s">
        <v>1258</v>
      </c>
      <c r="D19" s="40" t="s">
        <v>1259</v>
      </c>
      <c r="E19" s="40" t="s">
        <v>1243</v>
      </c>
      <c r="F19" s="40" t="s">
        <v>1244</v>
      </c>
      <c r="G19" s="40" t="s">
        <v>1238</v>
      </c>
      <c r="H19" s="40" t="s">
        <v>1260</v>
      </c>
      <c r="I19" s="40" t="s">
        <v>1261</v>
      </c>
      <c r="J19" s="40" t="s">
        <v>1262</v>
      </c>
      <c r="K19" s="40" t="s">
        <v>1263</v>
      </c>
    </row>
    <row r="20" spans="1:11" ht="14.5" x14ac:dyDescent="0.35">
      <c r="A20" s="75" t="s">
        <v>430</v>
      </c>
      <c r="B20" s="76" t="s">
        <v>1316</v>
      </c>
      <c r="C20" s="51" t="s">
        <v>1168</v>
      </c>
      <c r="D20" s="51" t="s">
        <v>1172</v>
      </c>
      <c r="E20" s="51" t="s">
        <v>1175</v>
      </c>
      <c r="F20" s="51" t="s">
        <v>1178</v>
      </c>
      <c r="G20" s="51" t="s">
        <v>1181</v>
      </c>
      <c r="H20" s="51" t="s">
        <v>1184</v>
      </c>
      <c r="I20" s="51" t="s">
        <v>1188</v>
      </c>
      <c r="J20" s="51" t="s">
        <v>1191</v>
      </c>
      <c r="K20" s="51" t="s">
        <v>1173</v>
      </c>
    </row>
    <row r="21" spans="1:11" ht="14.5" x14ac:dyDescent="0.35">
      <c r="A21" s="100" t="s">
        <v>789</v>
      </c>
      <c r="B21" s="99"/>
      <c r="C21" s="99"/>
      <c r="D21" s="99"/>
      <c r="E21" s="99"/>
      <c r="F21" s="99"/>
      <c r="G21" s="99"/>
      <c r="H21" s="99"/>
      <c r="I21" s="99"/>
      <c r="J21" s="99"/>
      <c r="K21" s="99"/>
    </row>
    <row r="22" spans="1:11" ht="14.5" x14ac:dyDescent="0.35">
      <c r="A22" s="100" t="s">
        <v>671</v>
      </c>
      <c r="B22" s="99"/>
      <c r="C22" s="99"/>
      <c r="D22" s="99"/>
      <c r="E22" s="99"/>
      <c r="F22" s="99"/>
      <c r="G22" s="99"/>
      <c r="H22" s="99"/>
      <c r="I22" s="99"/>
      <c r="J22" s="99"/>
      <c r="K22" s="99"/>
    </row>
    <row r="23" spans="1:11" ht="14.5" x14ac:dyDescent="0.35">
      <c r="A23" s="100" t="s">
        <v>672</v>
      </c>
      <c r="B23" s="99"/>
      <c r="C23" s="99"/>
      <c r="D23" s="99"/>
      <c r="E23" s="99"/>
      <c r="F23" s="99"/>
      <c r="G23" s="99"/>
      <c r="H23" s="99"/>
      <c r="I23" s="99"/>
      <c r="J23" s="99"/>
      <c r="K23" s="99"/>
    </row>
    <row r="24" spans="1:11" ht="14.5" x14ac:dyDescent="0.35">
      <c r="A24" s="100" t="s">
        <v>1264</v>
      </c>
      <c r="B24" s="99"/>
      <c r="C24" s="99"/>
      <c r="D24" s="99"/>
      <c r="E24" s="99"/>
      <c r="F24" s="99"/>
      <c r="G24" s="99"/>
      <c r="H24" s="99"/>
      <c r="I24" s="99"/>
      <c r="J24" s="99"/>
      <c r="K24" s="99"/>
    </row>
    <row r="25" spans="1:11" ht="14.5" x14ac:dyDescent="0.35">
      <c r="A25" s="100" t="s">
        <v>1265</v>
      </c>
      <c r="B25" s="99"/>
      <c r="C25" s="99"/>
      <c r="D25" s="99"/>
      <c r="E25" s="99"/>
      <c r="F25" s="99"/>
      <c r="G25" s="99"/>
      <c r="H25" s="99"/>
      <c r="I25" s="99"/>
      <c r="J25" s="99"/>
      <c r="K25" s="99"/>
    </row>
    <row r="26" spans="1:11" ht="14.5" x14ac:dyDescent="0.35">
      <c r="A26" s="44"/>
      <c r="B26" s="35"/>
      <c r="C26" s="35"/>
      <c r="D26" s="35"/>
      <c r="E26" s="35"/>
      <c r="F26" s="35"/>
      <c r="G26" s="35"/>
      <c r="H26" s="35"/>
      <c r="I26" s="35"/>
      <c r="J26" s="35"/>
      <c r="K26" s="35"/>
    </row>
    <row r="27" spans="1:11" ht="14.5" x14ac:dyDescent="0.35">
      <c r="A27" s="35" t="s">
        <v>290</v>
      </c>
      <c r="B27" s="35"/>
      <c r="C27" s="35"/>
      <c r="D27" s="35"/>
      <c r="E27" s="35"/>
      <c r="F27" s="35"/>
      <c r="G27" s="35"/>
      <c r="H27" s="35"/>
      <c r="I27" s="35"/>
      <c r="J27" s="35"/>
      <c r="K27" s="35"/>
    </row>
    <row r="28" spans="1:11" ht="14.5" x14ac:dyDescent="0.35">
      <c r="A28" s="45" t="s">
        <v>291</v>
      </c>
      <c r="B28" s="35"/>
      <c r="C28" s="35"/>
      <c r="D28" s="35"/>
      <c r="E28" s="35"/>
      <c r="F28" s="35"/>
      <c r="G28" s="35"/>
      <c r="H28" s="35"/>
      <c r="I28" s="35"/>
      <c r="J28" s="35"/>
      <c r="K28" s="35"/>
    </row>
    <row r="29" spans="1:11" ht="14.5" x14ac:dyDescent="0.35">
      <c r="A29" s="35"/>
      <c r="B29" s="35"/>
      <c r="C29" s="35"/>
      <c r="D29" s="35"/>
      <c r="E29" s="35"/>
      <c r="F29" s="35"/>
      <c r="G29" s="35"/>
      <c r="H29" s="35"/>
      <c r="I29" s="35"/>
      <c r="J29" s="35"/>
      <c r="K29" s="35"/>
    </row>
    <row r="30" spans="1:11" ht="14.5" x14ac:dyDescent="0.35">
      <c r="A30" s="45" t="s">
        <v>3</v>
      </c>
      <c r="B30" s="35"/>
      <c r="C30" s="35"/>
      <c r="D30" s="35"/>
      <c r="E30" s="35"/>
      <c r="F30" s="35"/>
      <c r="G30" s="35"/>
      <c r="H30" s="35"/>
      <c r="I30" s="35"/>
      <c r="J30" s="35"/>
      <c r="K30" s="35"/>
    </row>
    <row r="31" spans="1:11" ht="14.5" x14ac:dyDescent="0.35">
      <c r="A31" s="35"/>
      <c r="B31" s="35"/>
      <c r="C31" s="35"/>
      <c r="D31" s="35"/>
      <c r="E31" s="35"/>
      <c r="F31" s="35"/>
      <c r="G31" s="35"/>
      <c r="H31" s="35"/>
      <c r="I31" s="35"/>
      <c r="J31" s="35"/>
      <c r="K31" s="35"/>
    </row>
    <row r="32" spans="1:11" ht="14.5" x14ac:dyDescent="0.35">
      <c r="A32" s="45" t="s">
        <v>292</v>
      </c>
      <c r="B32" s="35"/>
      <c r="C32" s="35"/>
      <c r="D32" s="35"/>
      <c r="E32" s="35"/>
      <c r="F32" s="35"/>
      <c r="G32" s="35"/>
      <c r="H32" s="35"/>
      <c r="I32" s="35"/>
      <c r="J32" s="35"/>
      <c r="K32" s="35"/>
    </row>
  </sheetData>
  <mergeCells count="6">
    <mergeCell ref="A22:K22"/>
    <mergeCell ref="A21:K21"/>
    <mergeCell ref="A25:K25"/>
    <mergeCell ref="A24:K24"/>
    <mergeCell ref="A1:K1"/>
    <mergeCell ref="A23:K23"/>
  </mergeCells>
  <hyperlinks>
    <hyperlink ref="A28" r:id="rId1" xr:uid="{00000000-0004-0000-3600-000000000000}"/>
    <hyperlink ref="A30" location="'Technical specifications'!A1" display="Technical specifications" xr:uid="{00000000-0004-0000-3600-000001000000}"/>
    <hyperlink ref="A32" location="Contents!A1" display="Back to contents" xr:uid="{00000000-0004-0000-3600-00000200000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G19"/>
  <sheetViews>
    <sheetView workbookViewId="0">
      <selection sqref="A1:G1"/>
    </sheetView>
  </sheetViews>
  <sheetFormatPr defaultRowHeight="14.75" customHeight="1" x14ac:dyDescent="0.35"/>
  <cols>
    <col min="1" max="1" width="16" customWidth="1"/>
    <col min="2" max="2" width="25" customWidth="1"/>
    <col min="3" max="7" width="11.1796875" customWidth="1"/>
  </cols>
  <sheetData>
    <row r="1" spans="1:7" ht="33.75" customHeight="1" x14ac:dyDescent="0.35">
      <c r="A1" s="96" t="s">
        <v>64</v>
      </c>
      <c r="B1" s="97"/>
      <c r="C1" s="97"/>
      <c r="D1" s="97"/>
      <c r="E1" s="97"/>
      <c r="F1" s="97"/>
      <c r="G1" s="97"/>
    </row>
    <row r="2" spans="1:7" ht="14.5" x14ac:dyDescent="0.35">
      <c r="A2" s="36" t="s">
        <v>1266</v>
      </c>
      <c r="B2" s="36" t="s">
        <v>546</v>
      </c>
      <c r="C2" s="37" t="s">
        <v>277</v>
      </c>
      <c r="D2" s="37" t="s">
        <v>278</v>
      </c>
      <c r="E2" s="37" t="s">
        <v>279</v>
      </c>
      <c r="F2" s="37" t="s">
        <v>280</v>
      </c>
      <c r="G2" s="37" t="s">
        <v>281</v>
      </c>
    </row>
    <row r="3" spans="1:7" ht="14.5" x14ac:dyDescent="0.35">
      <c r="A3" s="38" t="s">
        <v>1267</v>
      </c>
      <c r="B3" s="58" t="s">
        <v>1317</v>
      </c>
      <c r="C3" s="39">
        <v>41.542999999999999</v>
      </c>
      <c r="D3" s="39">
        <v>34.313499999999998</v>
      </c>
      <c r="E3" s="39">
        <v>30.785399999999999</v>
      </c>
      <c r="F3" s="39">
        <v>30.842099999999999</v>
      </c>
      <c r="G3" s="39">
        <v>30.137</v>
      </c>
    </row>
    <row r="4" spans="1:7" ht="14.5" x14ac:dyDescent="0.35">
      <c r="A4" s="38" t="s">
        <v>1267</v>
      </c>
      <c r="B4" s="58" t="s">
        <v>1318</v>
      </c>
      <c r="C4" s="39">
        <v>77.919200000000004</v>
      </c>
      <c r="D4" s="39">
        <v>71.907700000000006</v>
      </c>
      <c r="E4" s="39">
        <v>66.777699999999996</v>
      </c>
      <c r="F4" s="39">
        <v>66.160799999999995</v>
      </c>
      <c r="G4" s="39">
        <v>64.340900000000005</v>
      </c>
    </row>
    <row r="5" spans="1:7" ht="14.5" x14ac:dyDescent="0.35">
      <c r="A5" s="38" t="s">
        <v>1270</v>
      </c>
      <c r="B5" s="58" t="s">
        <v>1317</v>
      </c>
      <c r="C5" s="39">
        <v>62.075699999999998</v>
      </c>
      <c r="D5" s="39">
        <v>54.072499999999998</v>
      </c>
      <c r="E5" s="39">
        <v>49.345500000000001</v>
      </c>
      <c r="F5" s="39">
        <v>49.364400000000003</v>
      </c>
      <c r="G5" s="39">
        <v>48.305199999999999</v>
      </c>
    </row>
    <row r="6" spans="1:7" ht="14.5" x14ac:dyDescent="0.35">
      <c r="A6" s="38" t="s">
        <v>1270</v>
      </c>
      <c r="B6" s="58" t="s">
        <v>1318</v>
      </c>
      <c r="C6" s="39">
        <v>91.358199999999997</v>
      </c>
      <c r="D6" s="39">
        <v>87.983900000000006</v>
      </c>
      <c r="E6" s="39">
        <v>84.8309</v>
      </c>
      <c r="F6" s="39">
        <v>84.245500000000007</v>
      </c>
      <c r="G6" s="39">
        <v>83.025899999999993</v>
      </c>
    </row>
    <row r="7" spans="1:7" ht="14.5" x14ac:dyDescent="0.35">
      <c r="A7" s="38" t="s">
        <v>1271</v>
      </c>
      <c r="B7" s="58" t="s">
        <v>1317</v>
      </c>
      <c r="C7" s="39">
        <v>75.866500000000002</v>
      </c>
      <c r="D7" s="39">
        <v>68.7928</v>
      </c>
      <c r="E7" s="39">
        <v>63.596499999999999</v>
      </c>
      <c r="F7" s="39">
        <v>63.546599999999998</v>
      </c>
      <c r="G7" s="39">
        <v>62.107700000000001</v>
      </c>
    </row>
    <row r="8" spans="1:7" ht="14.5" x14ac:dyDescent="0.35">
      <c r="A8" s="38" t="s">
        <v>1271</v>
      </c>
      <c r="B8" s="58" t="s">
        <v>1318</v>
      </c>
      <c r="C8" s="39">
        <v>96.2684</v>
      </c>
      <c r="D8" s="39">
        <v>94.600200000000001</v>
      </c>
      <c r="E8" s="39">
        <v>92.810100000000006</v>
      </c>
      <c r="F8" s="39">
        <v>92.4131</v>
      </c>
      <c r="G8" s="39">
        <v>91.597300000000004</v>
      </c>
    </row>
    <row r="9" spans="1:7" ht="14.5" x14ac:dyDescent="0.35">
      <c r="A9" s="38" t="s">
        <v>1272</v>
      </c>
      <c r="B9" s="58" t="s">
        <v>1317</v>
      </c>
      <c r="C9" s="39">
        <v>88.256299999999996</v>
      </c>
      <c r="D9" s="39">
        <v>83.745199999999997</v>
      </c>
      <c r="E9" s="39">
        <v>79.279300000000006</v>
      </c>
      <c r="F9" s="39">
        <v>79.282700000000006</v>
      </c>
      <c r="G9" s="39">
        <v>77.882199999999997</v>
      </c>
    </row>
    <row r="10" spans="1:7" ht="14.5" x14ac:dyDescent="0.35">
      <c r="A10" s="49" t="s">
        <v>1272</v>
      </c>
      <c r="B10" s="72" t="s">
        <v>1318</v>
      </c>
      <c r="C10" s="50">
        <v>98.825699999999998</v>
      </c>
      <c r="D10" s="50">
        <v>98.327500000000001</v>
      </c>
      <c r="E10" s="50">
        <v>97.668300000000002</v>
      </c>
      <c r="F10" s="50">
        <v>97.542199999999994</v>
      </c>
      <c r="G10" s="50">
        <v>97.186800000000005</v>
      </c>
    </row>
    <row r="11" spans="1:7" ht="21" customHeight="1" x14ac:dyDescent="0.35">
      <c r="A11" s="100" t="s">
        <v>1273</v>
      </c>
      <c r="B11" s="99"/>
      <c r="C11" s="99"/>
      <c r="D11" s="99"/>
      <c r="E11" s="99"/>
      <c r="F11" s="99"/>
      <c r="G11" s="99"/>
    </row>
    <row r="12" spans="1:7" ht="21" customHeight="1" x14ac:dyDescent="0.35">
      <c r="A12" s="100" t="s">
        <v>1274</v>
      </c>
      <c r="B12" s="99"/>
      <c r="C12" s="99"/>
      <c r="D12" s="99"/>
      <c r="E12" s="99"/>
      <c r="F12" s="99"/>
      <c r="G12" s="99"/>
    </row>
    <row r="13" spans="1:7" ht="14.5" x14ac:dyDescent="0.35">
      <c r="A13" s="44"/>
      <c r="B13" s="35"/>
      <c r="C13" s="35"/>
      <c r="D13" s="35"/>
      <c r="E13" s="35"/>
      <c r="F13" s="35"/>
      <c r="G13" s="35"/>
    </row>
    <row r="14" spans="1:7" ht="14.5" x14ac:dyDescent="0.35">
      <c r="A14" s="35" t="s">
        <v>290</v>
      </c>
      <c r="B14" s="35"/>
      <c r="C14" s="35"/>
      <c r="D14" s="35"/>
      <c r="E14" s="35"/>
      <c r="F14" s="35"/>
      <c r="G14" s="35"/>
    </row>
    <row r="15" spans="1:7" ht="14.5" x14ac:dyDescent="0.35">
      <c r="A15" s="45" t="s">
        <v>291</v>
      </c>
      <c r="B15" s="35"/>
      <c r="C15" s="35"/>
      <c r="D15" s="35"/>
      <c r="E15" s="35"/>
      <c r="F15" s="35"/>
      <c r="G15" s="35"/>
    </row>
    <row r="16" spans="1:7" ht="14.5" x14ac:dyDescent="0.35">
      <c r="A16" s="35"/>
      <c r="B16" s="35"/>
      <c r="C16" s="35"/>
      <c r="D16" s="35"/>
      <c r="E16" s="35"/>
      <c r="F16" s="35"/>
      <c r="G16" s="35"/>
    </row>
    <row r="17" spans="1:7" ht="14.5" x14ac:dyDescent="0.35">
      <c r="A17" s="45" t="s">
        <v>3</v>
      </c>
      <c r="B17" s="35"/>
      <c r="C17" s="35"/>
      <c r="D17" s="35"/>
      <c r="E17" s="35"/>
      <c r="F17" s="35"/>
      <c r="G17" s="35"/>
    </row>
    <row r="18" spans="1:7" ht="14.5" x14ac:dyDescent="0.35">
      <c r="A18" s="35"/>
      <c r="B18" s="35"/>
      <c r="C18" s="35"/>
      <c r="D18" s="35"/>
      <c r="E18" s="35"/>
      <c r="F18" s="35"/>
      <c r="G18" s="35"/>
    </row>
    <row r="19" spans="1:7" ht="14.5" x14ac:dyDescent="0.35">
      <c r="A19" s="45" t="s">
        <v>292</v>
      </c>
      <c r="B19" s="35"/>
      <c r="C19" s="35"/>
      <c r="D19" s="35"/>
      <c r="E19" s="35"/>
      <c r="F19" s="35"/>
      <c r="G19" s="35"/>
    </row>
  </sheetData>
  <mergeCells count="3">
    <mergeCell ref="A11:G11"/>
    <mergeCell ref="A1:G1"/>
    <mergeCell ref="A12:G12"/>
  </mergeCells>
  <hyperlinks>
    <hyperlink ref="A15" r:id="rId1" xr:uid="{00000000-0004-0000-3700-000000000000}"/>
    <hyperlink ref="A17" location="'Technical specifications'!A1" display="Technical specifications" xr:uid="{00000000-0004-0000-3700-000001000000}"/>
    <hyperlink ref="A19" location="Contents!A1" display="Back to contents" xr:uid="{00000000-0004-0000-3700-000002000000}"/>
  </hyperlink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D59"/>
  <sheetViews>
    <sheetView workbookViewId="0">
      <selection sqref="A1:D1"/>
    </sheetView>
  </sheetViews>
  <sheetFormatPr defaultRowHeight="14.75" customHeight="1" x14ac:dyDescent="0.35"/>
  <cols>
    <col min="1" max="1" width="16" customWidth="1"/>
    <col min="2" max="2" width="9" customWidth="1"/>
    <col min="3" max="4" width="20" customWidth="1"/>
  </cols>
  <sheetData>
    <row r="1" spans="1:4" ht="40" customHeight="1" x14ac:dyDescent="0.35">
      <c r="A1" s="96" t="s">
        <v>65</v>
      </c>
      <c r="B1" s="97"/>
      <c r="C1" s="97"/>
      <c r="D1" s="97"/>
    </row>
    <row r="2" spans="1:4" ht="14.5" x14ac:dyDescent="0.35">
      <c r="A2" s="36" t="s">
        <v>1266</v>
      </c>
      <c r="B2" s="36" t="s">
        <v>308</v>
      </c>
      <c r="C2" s="37" t="s">
        <v>1268</v>
      </c>
      <c r="D2" s="37" t="s">
        <v>1269</v>
      </c>
    </row>
    <row r="3" spans="1:4" ht="14.5" x14ac:dyDescent="0.35">
      <c r="A3" s="38" t="s">
        <v>1267</v>
      </c>
      <c r="B3" s="38" t="s">
        <v>310</v>
      </c>
      <c r="C3" s="39">
        <v>43.3399</v>
      </c>
      <c r="D3" s="39">
        <v>78.024500000000003</v>
      </c>
    </row>
    <row r="4" spans="1:4" ht="14.5" x14ac:dyDescent="0.35">
      <c r="A4" s="38" t="s">
        <v>1267</v>
      </c>
      <c r="B4" s="38" t="s">
        <v>311</v>
      </c>
      <c r="C4" s="39">
        <v>42.429000000000002</v>
      </c>
      <c r="D4" s="39">
        <v>78.305800000000005</v>
      </c>
    </row>
    <row r="5" spans="1:4" ht="14.5" x14ac:dyDescent="0.35">
      <c r="A5" s="38" t="s">
        <v>1267</v>
      </c>
      <c r="B5" s="38" t="s">
        <v>312</v>
      </c>
      <c r="C5" s="39">
        <v>40.035800000000002</v>
      </c>
      <c r="D5" s="39">
        <v>66.702100000000002</v>
      </c>
    </row>
    <row r="6" spans="1:4" ht="14.5" x14ac:dyDescent="0.35">
      <c r="A6" s="38" t="s">
        <v>1267</v>
      </c>
      <c r="B6" s="38" t="s">
        <v>313</v>
      </c>
      <c r="C6" s="39">
        <v>39.627200000000002</v>
      </c>
      <c r="D6" s="39">
        <v>63.455100000000002</v>
      </c>
    </row>
    <row r="7" spans="1:4" ht="14.5" x14ac:dyDescent="0.35">
      <c r="A7" s="38" t="s">
        <v>1267</v>
      </c>
      <c r="B7" s="38" t="s">
        <v>314</v>
      </c>
      <c r="C7" s="39">
        <v>35.944000000000003</v>
      </c>
      <c r="D7" s="39">
        <v>61.351399999999998</v>
      </c>
    </row>
    <row r="8" spans="1:4" ht="14.5" x14ac:dyDescent="0.35">
      <c r="A8" s="38" t="s">
        <v>1267</v>
      </c>
      <c r="B8" s="38" t="s">
        <v>315</v>
      </c>
      <c r="C8" s="39">
        <v>31.999600000000001</v>
      </c>
      <c r="D8" s="39">
        <v>59.497500000000002</v>
      </c>
    </row>
    <row r="9" spans="1:4" ht="14.5" x14ac:dyDescent="0.35">
      <c r="A9" s="38" t="s">
        <v>1267</v>
      </c>
      <c r="B9" s="38" t="s">
        <v>316</v>
      </c>
      <c r="C9" s="39">
        <v>28.338999999999999</v>
      </c>
      <c r="D9" s="39">
        <v>58.369900000000001</v>
      </c>
    </row>
    <row r="10" spans="1:4" ht="14.5" x14ac:dyDescent="0.35">
      <c r="A10" s="38" t="s">
        <v>1267</v>
      </c>
      <c r="B10" s="38" t="s">
        <v>317</v>
      </c>
      <c r="C10" s="39">
        <v>24.203199999999999</v>
      </c>
      <c r="D10" s="39">
        <v>55.7791</v>
      </c>
    </row>
    <row r="11" spans="1:4" ht="14.5" x14ac:dyDescent="0.35">
      <c r="A11" s="38" t="s">
        <v>1267</v>
      </c>
      <c r="B11" s="38" t="s">
        <v>318</v>
      </c>
      <c r="C11" s="39">
        <v>20.7911</v>
      </c>
      <c r="D11" s="39">
        <v>51.303800000000003</v>
      </c>
    </row>
    <row r="12" spans="1:4" ht="14.5" x14ac:dyDescent="0.35">
      <c r="A12" s="38" t="s">
        <v>1267</v>
      </c>
      <c r="B12" s="38" t="s">
        <v>319</v>
      </c>
      <c r="C12" s="39">
        <v>18.72</v>
      </c>
      <c r="D12" s="39">
        <v>46.585700000000003</v>
      </c>
    </row>
    <row r="13" spans="1:4" ht="14.5" x14ac:dyDescent="0.35">
      <c r="A13" s="38" t="s">
        <v>1267</v>
      </c>
      <c r="B13" s="38" t="s">
        <v>320</v>
      </c>
      <c r="C13" s="39">
        <v>17.667000000000002</v>
      </c>
      <c r="D13" s="39">
        <v>42.657299999999999</v>
      </c>
    </row>
    <row r="14" spans="1:4" ht="14.5" x14ac:dyDescent="0.35">
      <c r="A14" s="38" t="s">
        <v>1267</v>
      </c>
      <c r="B14" s="38" t="s">
        <v>321</v>
      </c>
      <c r="C14" s="39">
        <v>18.171199999999999</v>
      </c>
      <c r="D14" s="39">
        <v>39.667299999999997</v>
      </c>
    </row>
    <row r="15" spans="1:4" ht="14.5" x14ac:dyDescent="0.35">
      <c r="A15" s="38" t="s">
        <v>1270</v>
      </c>
      <c r="B15" s="38" t="s">
        <v>310</v>
      </c>
      <c r="C15" s="39">
        <v>68.234700000000004</v>
      </c>
      <c r="D15" s="39">
        <v>93.046300000000002</v>
      </c>
    </row>
    <row r="16" spans="1:4" ht="14.5" x14ac:dyDescent="0.35">
      <c r="A16" s="38" t="s">
        <v>1270</v>
      </c>
      <c r="B16" s="38" t="s">
        <v>311</v>
      </c>
      <c r="C16" s="39">
        <v>66.941800000000001</v>
      </c>
      <c r="D16" s="39">
        <v>92.743300000000005</v>
      </c>
    </row>
    <row r="17" spans="1:4" ht="14.5" x14ac:dyDescent="0.35">
      <c r="A17" s="38" t="s">
        <v>1270</v>
      </c>
      <c r="B17" s="38" t="s">
        <v>312</v>
      </c>
      <c r="C17" s="39">
        <v>59.231900000000003</v>
      </c>
      <c r="D17" s="39">
        <v>84.945899999999995</v>
      </c>
    </row>
    <row r="18" spans="1:4" ht="14.5" x14ac:dyDescent="0.35">
      <c r="A18" s="38" t="s">
        <v>1270</v>
      </c>
      <c r="B18" s="38" t="s">
        <v>313</v>
      </c>
      <c r="C18" s="39">
        <v>57.953000000000003</v>
      </c>
      <c r="D18" s="39">
        <v>82.612899999999996</v>
      </c>
    </row>
    <row r="19" spans="1:4" ht="14.5" x14ac:dyDescent="0.35">
      <c r="A19" s="38" t="s">
        <v>1270</v>
      </c>
      <c r="B19" s="38" t="s">
        <v>314</v>
      </c>
      <c r="C19" s="39">
        <v>54.074100000000001</v>
      </c>
      <c r="D19" s="39">
        <v>80.736000000000004</v>
      </c>
    </row>
    <row r="20" spans="1:4" ht="14.5" x14ac:dyDescent="0.35">
      <c r="A20" s="38" t="s">
        <v>1270</v>
      </c>
      <c r="B20" s="38" t="s">
        <v>315</v>
      </c>
      <c r="C20" s="39">
        <v>49.615299999999998</v>
      </c>
      <c r="D20" s="39">
        <v>79.407600000000002</v>
      </c>
    </row>
    <row r="21" spans="1:4" ht="14.5" x14ac:dyDescent="0.35">
      <c r="A21" s="38" t="s">
        <v>1270</v>
      </c>
      <c r="B21" s="38" t="s">
        <v>316</v>
      </c>
      <c r="C21" s="39">
        <v>45.7102</v>
      </c>
      <c r="D21" s="39">
        <v>78.8643</v>
      </c>
    </row>
    <row r="22" spans="1:4" ht="14.5" x14ac:dyDescent="0.35">
      <c r="A22" s="38" t="s">
        <v>1270</v>
      </c>
      <c r="B22" s="38" t="s">
        <v>317</v>
      </c>
      <c r="C22" s="39">
        <v>41.026600000000002</v>
      </c>
      <c r="D22" s="39">
        <v>77.055099999999996</v>
      </c>
    </row>
    <row r="23" spans="1:4" ht="14.5" x14ac:dyDescent="0.35">
      <c r="A23" s="38" t="s">
        <v>1270</v>
      </c>
      <c r="B23" s="38" t="s">
        <v>318</v>
      </c>
      <c r="C23" s="39">
        <v>37.231200000000001</v>
      </c>
      <c r="D23" s="39">
        <v>73.608999999999995</v>
      </c>
    </row>
    <row r="24" spans="1:4" ht="14.5" x14ac:dyDescent="0.35">
      <c r="A24" s="38" t="s">
        <v>1270</v>
      </c>
      <c r="B24" s="38" t="s">
        <v>319</v>
      </c>
      <c r="C24" s="39">
        <v>34.938299999999998</v>
      </c>
      <c r="D24" s="39">
        <v>69.328999999999994</v>
      </c>
    </row>
    <row r="25" spans="1:4" ht="14.5" x14ac:dyDescent="0.35">
      <c r="A25" s="38" t="s">
        <v>1270</v>
      </c>
      <c r="B25" s="38" t="s">
        <v>320</v>
      </c>
      <c r="C25" s="39">
        <v>33.954599999999999</v>
      </c>
      <c r="D25" s="39">
        <v>65.426199999999994</v>
      </c>
    </row>
    <row r="26" spans="1:4" ht="14.5" x14ac:dyDescent="0.35">
      <c r="A26" s="38" t="s">
        <v>1270</v>
      </c>
      <c r="B26" s="38" t="s">
        <v>321</v>
      </c>
      <c r="C26" s="39">
        <v>34.064399999999999</v>
      </c>
      <c r="D26" s="39">
        <v>61.808300000000003</v>
      </c>
    </row>
    <row r="27" spans="1:4" ht="14.5" x14ac:dyDescent="0.35">
      <c r="A27" s="38" t="s">
        <v>1271</v>
      </c>
      <c r="B27" s="38" t="s">
        <v>310</v>
      </c>
      <c r="C27" s="39">
        <v>83.293700000000001</v>
      </c>
      <c r="D27" s="39">
        <v>97.569299999999998</v>
      </c>
    </row>
    <row r="28" spans="1:4" ht="14.5" x14ac:dyDescent="0.35">
      <c r="A28" s="38" t="s">
        <v>1271</v>
      </c>
      <c r="B28" s="38" t="s">
        <v>311</v>
      </c>
      <c r="C28" s="39">
        <v>82.278899999999993</v>
      </c>
      <c r="D28" s="39">
        <v>97.323300000000003</v>
      </c>
    </row>
    <row r="29" spans="1:4" ht="14.5" x14ac:dyDescent="0.35">
      <c r="A29" s="38" t="s">
        <v>1271</v>
      </c>
      <c r="B29" s="38" t="s">
        <v>312</v>
      </c>
      <c r="C29" s="39">
        <v>72.061700000000002</v>
      </c>
      <c r="D29" s="39">
        <v>92.860900000000001</v>
      </c>
    </row>
    <row r="30" spans="1:4" ht="14.5" x14ac:dyDescent="0.35">
      <c r="A30" s="38" t="s">
        <v>1271</v>
      </c>
      <c r="B30" s="38" t="s">
        <v>313</v>
      </c>
      <c r="C30" s="39">
        <v>70.192300000000003</v>
      </c>
      <c r="D30" s="39">
        <v>91.547399999999996</v>
      </c>
    </row>
    <row r="31" spans="1:4" ht="14.5" x14ac:dyDescent="0.35">
      <c r="A31" s="38" t="s">
        <v>1271</v>
      </c>
      <c r="B31" s="38" t="s">
        <v>314</v>
      </c>
      <c r="C31" s="39">
        <v>66.864500000000007</v>
      </c>
      <c r="D31" s="39">
        <v>90.227500000000006</v>
      </c>
    </row>
    <row r="32" spans="1:4" ht="14.5" x14ac:dyDescent="0.35">
      <c r="A32" s="38" t="s">
        <v>1271</v>
      </c>
      <c r="B32" s="38" t="s">
        <v>315</v>
      </c>
      <c r="C32" s="39">
        <v>62.994</v>
      </c>
      <c r="D32" s="39">
        <v>89.430999999999997</v>
      </c>
    </row>
    <row r="33" spans="1:4" ht="14.5" x14ac:dyDescent="0.35">
      <c r="A33" s="38" t="s">
        <v>1271</v>
      </c>
      <c r="B33" s="38" t="s">
        <v>316</v>
      </c>
      <c r="C33" s="39">
        <v>59.360500000000002</v>
      </c>
      <c r="D33" s="39">
        <v>89.193299999999994</v>
      </c>
    </row>
    <row r="34" spans="1:4" ht="14.5" x14ac:dyDescent="0.35">
      <c r="A34" s="38" t="s">
        <v>1271</v>
      </c>
      <c r="B34" s="38" t="s">
        <v>317</v>
      </c>
      <c r="C34" s="39">
        <v>55.034599999999998</v>
      </c>
      <c r="D34" s="39">
        <v>88.125</v>
      </c>
    </row>
    <row r="35" spans="1:4" ht="14.5" x14ac:dyDescent="0.35">
      <c r="A35" s="38" t="s">
        <v>1271</v>
      </c>
      <c r="B35" s="38" t="s">
        <v>318</v>
      </c>
      <c r="C35" s="39">
        <v>51.581299999999999</v>
      </c>
      <c r="D35" s="39">
        <v>85.798500000000004</v>
      </c>
    </row>
    <row r="36" spans="1:4" ht="14.5" x14ac:dyDescent="0.35">
      <c r="A36" s="38" t="s">
        <v>1271</v>
      </c>
      <c r="B36" s="38" t="s">
        <v>319</v>
      </c>
      <c r="C36" s="39">
        <v>49.732100000000003</v>
      </c>
      <c r="D36" s="39">
        <v>82.469899999999996</v>
      </c>
    </row>
    <row r="37" spans="1:4" ht="14.5" x14ac:dyDescent="0.35">
      <c r="A37" s="38" t="s">
        <v>1271</v>
      </c>
      <c r="B37" s="38" t="s">
        <v>320</v>
      </c>
      <c r="C37" s="39">
        <v>48.711599999999997</v>
      </c>
      <c r="D37" s="39">
        <v>79.045400000000001</v>
      </c>
    </row>
    <row r="38" spans="1:4" ht="14.5" x14ac:dyDescent="0.35">
      <c r="A38" s="38" t="s">
        <v>1271</v>
      </c>
      <c r="B38" s="38" t="s">
        <v>321</v>
      </c>
      <c r="C38" s="39">
        <v>48.972099999999998</v>
      </c>
      <c r="D38" s="39">
        <v>75.913899999999998</v>
      </c>
    </row>
    <row r="39" spans="1:4" ht="14.5" x14ac:dyDescent="0.35">
      <c r="A39" s="38" t="s">
        <v>1272</v>
      </c>
      <c r="B39" s="38" t="s">
        <v>310</v>
      </c>
      <c r="C39" s="39">
        <v>94.769099999999995</v>
      </c>
      <c r="D39" s="39">
        <v>99.453299999999999</v>
      </c>
    </row>
    <row r="40" spans="1:4" ht="14.5" x14ac:dyDescent="0.35">
      <c r="A40" s="38" t="s">
        <v>1272</v>
      </c>
      <c r="B40" s="38" t="s">
        <v>311</v>
      </c>
      <c r="C40" s="39">
        <v>94.231200000000001</v>
      </c>
      <c r="D40" s="39">
        <v>99.305800000000005</v>
      </c>
    </row>
    <row r="41" spans="1:4" ht="14.5" x14ac:dyDescent="0.35">
      <c r="A41" s="38" t="s">
        <v>1272</v>
      </c>
      <c r="B41" s="38" t="s">
        <v>312</v>
      </c>
      <c r="C41" s="39">
        <v>84.917400000000001</v>
      </c>
      <c r="D41" s="39">
        <v>97.792699999999996</v>
      </c>
    </row>
    <row r="42" spans="1:4" ht="14.5" x14ac:dyDescent="0.35">
      <c r="A42" s="38" t="s">
        <v>1272</v>
      </c>
      <c r="B42" s="38" t="s">
        <v>313</v>
      </c>
      <c r="C42" s="39">
        <v>83.288600000000002</v>
      </c>
      <c r="D42" s="39">
        <v>97.319000000000003</v>
      </c>
    </row>
    <row r="43" spans="1:4" ht="14.5" x14ac:dyDescent="0.35">
      <c r="A43" s="38" t="s">
        <v>1272</v>
      </c>
      <c r="B43" s="38" t="s">
        <v>314</v>
      </c>
      <c r="C43" s="39">
        <v>81.036900000000003</v>
      </c>
      <c r="D43" s="39">
        <v>96.817800000000005</v>
      </c>
    </row>
    <row r="44" spans="1:4" ht="14.5" x14ac:dyDescent="0.35">
      <c r="A44" s="38" t="s">
        <v>1272</v>
      </c>
      <c r="B44" s="38" t="s">
        <v>315</v>
      </c>
      <c r="C44" s="39">
        <v>78.357799999999997</v>
      </c>
      <c r="D44" s="39">
        <v>96.434200000000004</v>
      </c>
    </row>
    <row r="45" spans="1:4" ht="14.5" x14ac:dyDescent="0.35">
      <c r="A45" s="38" t="s">
        <v>1272</v>
      </c>
      <c r="B45" s="38" t="s">
        <v>316</v>
      </c>
      <c r="C45" s="39">
        <v>75.672799999999995</v>
      </c>
      <c r="D45" s="39">
        <v>96.403099999999995</v>
      </c>
    </row>
    <row r="46" spans="1:4" ht="14.5" x14ac:dyDescent="0.35">
      <c r="A46" s="38" t="s">
        <v>1272</v>
      </c>
      <c r="B46" s="38" t="s">
        <v>317</v>
      </c>
      <c r="C46" s="39">
        <v>72.593800000000002</v>
      </c>
      <c r="D46" s="39">
        <v>95.818200000000004</v>
      </c>
    </row>
    <row r="47" spans="1:4" ht="14.5" x14ac:dyDescent="0.35">
      <c r="A47" s="38" t="s">
        <v>1272</v>
      </c>
      <c r="B47" s="38" t="s">
        <v>318</v>
      </c>
      <c r="C47" s="39">
        <v>70.121799999999993</v>
      </c>
      <c r="D47" s="39">
        <v>94.479600000000005</v>
      </c>
    </row>
    <row r="48" spans="1:4" ht="14.5" x14ac:dyDescent="0.35">
      <c r="A48" s="38" t="s">
        <v>1272</v>
      </c>
      <c r="B48" s="38" t="s">
        <v>319</v>
      </c>
      <c r="C48" s="39">
        <v>68.630200000000002</v>
      </c>
      <c r="D48" s="39">
        <v>92.584599999999995</v>
      </c>
    </row>
    <row r="49" spans="1:4" ht="14.5" x14ac:dyDescent="0.35">
      <c r="A49" s="38" t="s">
        <v>1272</v>
      </c>
      <c r="B49" s="38" t="s">
        <v>320</v>
      </c>
      <c r="C49" s="39">
        <v>68.290099999999995</v>
      </c>
      <c r="D49" s="39">
        <v>90.563699999999997</v>
      </c>
    </row>
    <row r="50" spans="1:4" ht="14.5" x14ac:dyDescent="0.35">
      <c r="A50" s="49" t="s">
        <v>1272</v>
      </c>
      <c r="B50" s="49" t="s">
        <v>321</v>
      </c>
      <c r="C50" s="50">
        <v>68.590800000000002</v>
      </c>
      <c r="D50" s="50">
        <v>89.241399999999999</v>
      </c>
    </row>
    <row r="51" spans="1:4" ht="29" customHeight="1" x14ac:dyDescent="0.35">
      <c r="A51" s="100" t="s">
        <v>1273</v>
      </c>
      <c r="B51" s="99"/>
      <c r="C51" s="99"/>
      <c r="D51" s="99"/>
    </row>
    <row r="52" spans="1:4" ht="19.5" customHeight="1" x14ac:dyDescent="0.35">
      <c r="A52" s="100" t="s">
        <v>1274</v>
      </c>
      <c r="B52" s="99"/>
      <c r="C52" s="99"/>
      <c r="D52" s="99"/>
    </row>
    <row r="53" spans="1:4" ht="14.5" x14ac:dyDescent="0.35">
      <c r="A53" s="44"/>
      <c r="B53" s="35"/>
      <c r="C53" s="35"/>
      <c r="D53" s="35"/>
    </row>
    <row r="54" spans="1:4" ht="14.5" x14ac:dyDescent="0.35">
      <c r="A54" s="35" t="s">
        <v>290</v>
      </c>
      <c r="B54" s="35"/>
      <c r="C54" s="35"/>
      <c r="D54" s="35"/>
    </row>
    <row r="55" spans="1:4" ht="14.5" x14ac:dyDescent="0.35">
      <c r="A55" s="45" t="s">
        <v>291</v>
      </c>
      <c r="B55" s="35"/>
      <c r="C55" s="35"/>
      <c r="D55" s="35"/>
    </row>
    <row r="56" spans="1:4" ht="14.5" x14ac:dyDescent="0.35">
      <c r="A56" s="35"/>
      <c r="B56" s="35"/>
      <c r="C56" s="35"/>
      <c r="D56" s="35"/>
    </row>
    <row r="57" spans="1:4" ht="14.5" x14ac:dyDescent="0.35">
      <c r="A57" s="45" t="s">
        <v>3</v>
      </c>
      <c r="B57" s="35"/>
      <c r="C57" s="35"/>
      <c r="D57" s="35"/>
    </row>
    <row r="58" spans="1:4" ht="14.5" x14ac:dyDescent="0.35">
      <c r="A58" s="35"/>
      <c r="B58" s="35"/>
      <c r="C58" s="35"/>
      <c r="D58" s="35"/>
    </row>
    <row r="59" spans="1:4" ht="14.5" x14ac:dyDescent="0.35">
      <c r="A59" s="45" t="s">
        <v>292</v>
      </c>
      <c r="B59" s="35"/>
      <c r="C59" s="35"/>
      <c r="D59" s="35"/>
    </row>
  </sheetData>
  <mergeCells count="3">
    <mergeCell ref="A1:D1"/>
    <mergeCell ref="A52:D52"/>
    <mergeCell ref="A51:D51"/>
  </mergeCells>
  <hyperlinks>
    <hyperlink ref="A55" r:id="rId1" xr:uid="{00000000-0004-0000-3800-000000000000}"/>
    <hyperlink ref="A57" location="'Technical specifications'!A1" display="Technical specifications" xr:uid="{00000000-0004-0000-3800-000001000000}"/>
    <hyperlink ref="A59" location="Contents!A1" display="Back to contents" xr:uid="{00000000-0004-0000-3800-000002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AnalysisFileRunDate xmlns="eb2e7059-7c83-4c82-8f5c-8f5659869bdf" xsi:nil="true"/>
    <AIHW_PPR_AnalysisFileRunBy xmlns="eb2e7059-7c83-4c82-8f5c-8f5659869bdf">
      <UserInfo>
        <DisplayName/>
        <AccountId xsi:nil="true"/>
        <AccountType/>
      </UserInfo>
    </AIHW_PPR_AnalysisFileRunBy>
    <AIHW_PPR_ProjectCategoryLookup xmlns="eb2e7059-7c83-4c82-8f5c-8f5659869bdf"/>
    <AIHW_PPR_AnalysisFileVersion xmlns="eb2e7059-7c83-4c82-8f5c-8f5659869bdf" xsi:nil="true"/>
    <AIHW_PPR_AnalysisFileSessionId xmlns="eb2e7059-7c83-4c82-8f5c-8f5659869bdf" xsi:nil="true"/>
    <AIHW_PPR_AnalysisFilePath xmlns="eb2e7059-7c83-4c82-8f5c-8f5659869bdf" xsi:nil="true"/>
    <AIHW_PPR_Checksum xmlns="eb2e7059-7c83-4c82-8f5c-8f5659869bd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9FC384412990E546B544602AD5DCB7B3" ma:contentTypeVersion="1" ma:contentTypeDescription="Create a new data object document." ma:contentTypeScope="" ma:versionID="d97f8e700b815e263024beb518c785c9">
  <xsd:schema xmlns:xsd="http://www.w3.org/2001/XMLSchema" xmlns:xs="http://www.w3.org/2001/XMLSchema" xmlns:p="http://schemas.microsoft.com/office/2006/metadata/properties" xmlns:ns2="eb2e7059-7c83-4c82-8f5c-8f5659869bdf" targetNamespace="http://schemas.microsoft.com/office/2006/metadata/properties" ma:root="true" ma:fieldsID="df8aad2c445c4b388142a9a3877e0c63" ns2:_="">
    <xsd:import namespace="eb2e7059-7c83-4c82-8f5c-8f5659869bdf"/>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2e7059-7c83-4c82-8f5c-8f5659869bdf"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bc0f9d-3c4e-4237-89a0-0f6e3e687299}" ma:internalName="AIHW_PPR_ProjectCategoryLookup" ma:showField="Title" ma:web="{eb2e7059-7c83-4c82-8f5c-8f5659869bdf}">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FC1939-ACF2-459D-B4ED-BE19E4A4F290}">
  <ds:schemaRefs>
    <ds:schemaRef ds:uri="http://purl.org/dc/terms/"/>
    <ds:schemaRef ds:uri="eb2e7059-7c83-4c82-8f5c-8f5659869bdf"/>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8A19DBF9-000F-4A32-B3A9-F92BB16496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2e7059-7c83-4c82-8f5c-8f5659869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C2F8CC-9369-4A1A-91A4-513D372E77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Contents</vt:lpstr>
      <vt:lpstr>Technical specifications</vt:lpstr>
      <vt:lpstr>Table 2.1</vt:lpstr>
      <vt:lpstr>Table 2.2</vt:lpstr>
      <vt:lpstr>Table 2.3</vt:lpstr>
      <vt:lpstr>Table 3.1</vt:lpstr>
      <vt:lpstr>Table 3.2</vt:lpstr>
      <vt:lpstr>Table 3.3</vt:lpstr>
      <vt:lpstr>Table 3.4</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5.1</vt:lpstr>
      <vt:lpstr>Table 5.2</vt:lpstr>
      <vt:lpstr>Table 5.3</vt:lpstr>
      <vt:lpstr>Table 5.4</vt:lpstr>
      <vt:lpstr>Table 5.5</vt:lpstr>
      <vt:lpstr>Table 5.6</vt:lpstr>
      <vt:lpstr>Table 6.1</vt:lpstr>
      <vt:lpstr>Table 6.2</vt:lpstr>
      <vt:lpstr>Table 6.3</vt:lpstr>
      <vt:lpstr>Table 6.4</vt:lpstr>
      <vt:lpstr>Table 6.5</vt:lpstr>
      <vt:lpstr>Table 6.6</vt:lpstr>
      <vt:lpstr>Table 6.7</vt:lpstr>
      <vt:lpstr>Table 6.8</vt:lpstr>
      <vt:lpstr>Table A1</vt:lpstr>
      <vt:lpstr>Table A2</vt:lpstr>
      <vt:lpstr>Table A3</vt:lpstr>
      <vt:lpstr>Table A4</vt:lpstr>
      <vt:lpstr>Table S3.1</vt:lpstr>
      <vt:lpstr>Table S3.2</vt:lpstr>
      <vt:lpstr>Table S4.1</vt:lpstr>
      <vt:lpstr>Table S4.2</vt:lpstr>
      <vt:lpstr>Table S4.3</vt:lpstr>
      <vt:lpstr>Table S4.4</vt:lpstr>
      <vt:lpstr>Table S4.5</vt:lpstr>
      <vt:lpstr>Table S5.1</vt:lpstr>
      <vt:lpstr>Table S5.2</vt:lpstr>
      <vt:lpstr>Table S5.3</vt:lpstr>
      <vt:lpstr>Table S6.1</vt:lpstr>
      <vt:lpstr>Table S6.2</vt:lpstr>
      <vt:lpstr>Table S6.3</vt:lpstr>
      <vt:lpstr>Table S6.4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Emergency-Department-Care-2022–23</dc:title>
  <dc:creator>AIHW</dc:creator>
  <cp:lastModifiedBy>Nazareth, Kline</cp:lastModifiedBy>
  <dcterms:created xsi:type="dcterms:W3CDTF">2017-11-13T23:16:36Z</dcterms:created>
  <dcterms:modified xsi:type="dcterms:W3CDTF">2025-11-17T00:54:11Z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0x010100B4A1F787F0C441AC878A307E051D262E00226E8B188E214B8AB06D165B586CEFC3009FC384412990E546B544602AD5DCB7B3</vt:lpwstr>
  </property>
  <property fmtid="{D5CDD505-2E9C-101B-9397-08002B2CF9AE}" pid="3" name="Order">
    <vt:r8>100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http://projects.aihw.gov.au/PRJ02864/Authoring/Emergency-department-care-2023-24_NT EXCLUDED_For_pub.xlsx</vt:lpwstr>
  </property>
  <property fmtid="{D5CDD505-2E9C-101B-9397-08002B2CF9AE}" pid="8" name="TemplateUrl">
    <vt:lpwstr/>
  </property>
</Properties>
</file>